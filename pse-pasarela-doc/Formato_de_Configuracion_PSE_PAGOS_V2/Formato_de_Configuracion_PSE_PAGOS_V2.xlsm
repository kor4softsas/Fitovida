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0730EB3F-75F1-03CD-C966-41DC9FD4AD36}"/>
  <workbookPr codeName="ThisWorkbook" defaultThemeVersion="124226"/>
  <mc:AlternateContent xmlns:mc="http://schemas.openxmlformats.org/markup-compatibility/2006">
    <mc:Choice Requires="x15">
      <x15ac:absPath xmlns:x15ac="http://schemas.microsoft.com/office/spreadsheetml/2010/11/ac" url="C:\Users\jcarbono\Desktop\"/>
    </mc:Choice>
  </mc:AlternateContent>
  <xr:revisionPtr revIDLastSave="0" documentId="13_ncr:1_{1A968DD5-07A1-4527-B610-22F7FBFB82F4}" xr6:coauthVersionLast="47" xr6:coauthVersionMax="47" xr10:uidLastSave="{00000000-0000-0000-0000-000000000000}"/>
  <bookViews>
    <workbookView xWindow="-108" yWindow="-108" windowWidth="23256" windowHeight="12576" tabRatio="950" xr2:uid="{02E333AD-605F-4970-8EC5-26C90BC8A817}"/>
  </bookViews>
  <sheets>
    <sheet name="FP" sheetId="5" r:id="rId1"/>
    <sheet name="CF" sheetId="6" r:id="rId2"/>
    <sheet name="CIF" sheetId="7" r:id="rId3"/>
    <sheet name="CL" sheetId="8" r:id="rId4"/>
    <sheet name="VPN" sheetId="13" r:id="rId5"/>
    <sheet name="PLANTILLAS" sheetId="35" r:id="rId6"/>
    <sheet name="DT" sheetId="36" state="hidden" r:id="rId7"/>
    <sheet name="Datos" sheetId="14" state="hidden" r:id="rId8"/>
  </sheets>
  <externalReferences>
    <externalReference r:id="rId9"/>
  </externalReferences>
  <definedNames>
    <definedName name="_pt1" localSheetId="5">PLANTILLAS!$A$10</definedName>
    <definedName name="_pt1">#REF!</definedName>
    <definedName name="_xleta.IF" hidden="1" xlm="1">#NAME?</definedName>
    <definedName name="_xleta.IFERROR" hidden="1" xlm="1">#NAME?</definedName>
    <definedName name="_xleta.NOT" hidden="1" xlm="1">#NAME?</definedName>
    <definedName name="_xleta.PMT" hidden="1" xlm="1">#NAME?</definedName>
    <definedName name="_xleta.TODAY" hidden="1" xlm="1">#NAME?</definedName>
    <definedName name="_xleta.TYPE" hidden="1" xlm="1">#NAME?</definedName>
    <definedName name="AMAZONAS">#REF!</definedName>
    <definedName name="ANTIOQUIA">#REF!</definedName>
    <definedName name="ARAUCA">#REF!</definedName>
    <definedName name="_xlnm.Print_Area" localSheetId="1">CF!$B$1:$AA$79</definedName>
    <definedName name="_xlnm.Print_Area" localSheetId="2">CIF!$B$1:$AA$93</definedName>
    <definedName name="_xlnm.Print_Area" localSheetId="3">CL!$B$2:$AA$62</definedName>
    <definedName name="_xlnm.Print_Area" localSheetId="0">FP!$B$1:$AA$108</definedName>
    <definedName name="ATLÁNTICO">#REF!</definedName>
    <definedName name="Banco_Agrario">DT!$H$2:$H$19</definedName>
    <definedName name="Banco_Confiar">DT!$C$2:$C$9</definedName>
    <definedName name="Banco_de_Bogotá">DT!$E$2:$E$17</definedName>
    <definedName name="Banco_de_Occidente">DT!$F$2:$F$15</definedName>
    <definedName name="Banco_GNB_Sudameris">DT!$G$2:$G$7</definedName>
    <definedName name="Banco_Pichincha">DT!$I$2:$I$13</definedName>
    <definedName name="Bancolombia">DT!$B$2:$B$22</definedName>
    <definedName name="Bancoomeva">DT!$D$2:$D$24</definedName>
    <definedName name="bancos">FP!$K$10</definedName>
    <definedName name="BOGOTÁ">#REF!</definedName>
    <definedName name="BOLÍVAR">#REF!</definedName>
    <definedName name="BOYACÁ">#REF!</definedName>
    <definedName name="CALDAS">#REF!</definedName>
    <definedName name="CAQUETÁ">#REF!</definedName>
    <definedName name="CASANARE">#REF!</definedName>
    <definedName name="CAUCA">#REF!</definedName>
    <definedName name="CESAR">#REF!</definedName>
    <definedName name="CHOCÓ">#REF!</definedName>
    <definedName name="CITIBANK">Datos!$B$171:$B$182</definedName>
    <definedName name="CÓRDOBA">#REF!</definedName>
    <definedName name="CUNDINAMARCA">#REF!</definedName>
    <definedName name="departamento" localSheetId="5">[1]Registro_Usuarios!$BD$2:$BD$34</definedName>
    <definedName name="departamento">#REF!</definedName>
    <definedName name="DistribuidorHosting" localSheetId="5">[1]Datos!$L$2:$L$9</definedName>
    <definedName name="DistribuidorHosting">Datos!$L$2:$L$9</definedName>
    <definedName name="GUAINÍA">#REF!</definedName>
    <definedName name="GUAJIRA">#REF!</definedName>
    <definedName name="GUAVIARE">#REF!</definedName>
    <definedName name="HUILA">#REF!</definedName>
    <definedName name="ImprimirCarta">#REF!</definedName>
    <definedName name="mensualidad" localSheetId="5">#REF!</definedName>
    <definedName name="mensualidad">#REF!</definedName>
    <definedName name="META">#REF!</definedName>
    <definedName name="multicredito">#REF!</definedName>
    <definedName name="multicreditoR">#REF!</definedName>
    <definedName name="NARIÑO">#REF!</definedName>
    <definedName name="NORTE_DE_SANTANDER">#REF!</definedName>
    <definedName name="paquete1" localSheetId="5">#REF!</definedName>
    <definedName name="paquete1">#REF!</definedName>
    <definedName name="PaqueteTX">Datos!$E$2:$E$15</definedName>
    <definedName name="PUTUMAYO">#REF!</definedName>
    <definedName name="QUINDÍO">#REF!</definedName>
    <definedName name="RISARALDA">#REF!</definedName>
    <definedName name="SAN_ANDRÉS">#REF!</definedName>
    <definedName name="SANTANDER">#REF!</definedName>
    <definedName name="service_code">#REF!</definedName>
    <definedName name="service_codeR">#REF!</definedName>
    <definedName name="SUCRE">#REF!</definedName>
    <definedName name="TIPOPLANTILLAS" localSheetId="5">#REF!</definedName>
    <definedName name="TIPOPLANTILLAS">#REF!</definedName>
    <definedName name="TOLIMA">#REF!</definedName>
    <definedName name="VALLE_DEL_CAUCA">#REF!</definedName>
    <definedName name="VAUPÉS">#REF!</definedName>
    <definedName name="VICHADA">#REF!</definedName>
    <definedName name="Z_81F0E444_1FDF_4C2C_B330_A1D7F689AA54_.wvu.PrintArea" localSheetId="1" hidden="1">CF!$B$1:$AA$79</definedName>
    <definedName name="Z_81F0E444_1FDF_4C2C_B330_A1D7F689AA54_.wvu.PrintArea" localSheetId="2" hidden="1">CIF!$B$1:$AA$93</definedName>
    <definedName name="Z_81F0E444_1FDF_4C2C_B330_A1D7F689AA54_.wvu.PrintArea" localSheetId="3" hidden="1">CL!$B$2:$AA$62</definedName>
    <definedName name="Z_81F0E444_1FDF_4C2C_B330_A1D7F689AA54_.wvu.PrintArea" localSheetId="0" hidden="1">FP!$B$1:$AA$108</definedName>
  </definedNames>
  <calcPr calcId="191029" iterateDelta="1E-4"/>
  <customWorkbookViews>
    <customWorkbookView name="Imprimir2" guid="{81F0E444-1FDF-4C2C-B330-A1D7F689AA54}" includeHiddenRowCol="0" maximized="1" showSheetTabs="0" xWindow="-8" yWindow="-8" windowWidth="1456" windowHeight="876" tabRatio="827" activeSheetId="2"/>
  </customWorkbookViews>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40" i="5" l="1"/>
  <c r="G25" i="5" l="1"/>
  <c r="V15" i="8"/>
  <c r="V21" i="7"/>
  <c r="V15" i="6"/>
  <c r="V14" i="5"/>
  <c r="D64" i="13"/>
  <c r="H65" i="13"/>
  <c r="D65" i="13"/>
  <c r="H63" i="13"/>
  <c r="D63" i="13"/>
  <c r="H64" i="13"/>
  <c r="D57" i="13"/>
  <c r="I57" i="13"/>
  <c r="G27" i="5" l="1"/>
  <c r="DK6" i="5" l="1" a="1"/>
  <c r="DK6" i="5" s="1"/>
  <c r="DK6" i="6" a="1"/>
  <c r="DK6" i="6" s="1"/>
  <c r="S8" i="8"/>
  <c r="S7" i="7"/>
  <c r="S8" i="6"/>
  <c r="DL6" i="8" l="1" a="1"/>
  <c r="DL6" i="8" s="1"/>
  <c r="B38" i="5" l="1"/>
  <c r="S8" i="5"/>
  <c r="J63" i="7"/>
  <c r="J96" i="6"/>
  <c r="J73" i="5"/>
  <c r="Z46" i="13"/>
  <c r="R52" i="13"/>
  <c r="P53" i="13"/>
  <c r="R19" i="13"/>
  <c r="L24" i="13"/>
  <c r="D62" i="13"/>
  <c r="B50" i="13"/>
  <c r="D55" i="13"/>
  <c r="Z52" i="13"/>
  <c r="T47" i="13"/>
  <c r="X47" i="13"/>
  <c r="Q43" i="13"/>
  <c r="Q41" i="13"/>
  <c r="Q40" i="13"/>
  <c r="Q39" i="13"/>
  <c r="Q38" i="13"/>
  <c r="Q37" i="13"/>
  <c r="Q36" i="13"/>
  <c r="Q35" i="13"/>
  <c r="Q34" i="13"/>
  <c r="BF28" i="13"/>
  <c r="BE28" i="13"/>
  <c r="BF25" i="13"/>
  <c r="BE25" i="13"/>
  <c r="BF22" i="13"/>
  <c r="BE22" i="13"/>
  <c r="BF19" i="13"/>
  <c r="BE19" i="13"/>
  <c r="BF15" i="13"/>
  <c r="BE15" i="13"/>
  <c r="BF11" i="13"/>
  <c r="BE11" i="13"/>
  <c r="BE2" i="13"/>
  <c r="DH2" i="13"/>
  <c r="DH1" i="13"/>
  <c r="DH2" i="8"/>
  <c r="DH1" i="8"/>
  <c r="DH2" i="7"/>
  <c r="DH1" i="7"/>
  <c r="DH2" i="6"/>
  <c r="DH1" i="6"/>
  <c r="DH2" i="5"/>
  <c r="DH1" i="5"/>
  <c r="B87" i="7"/>
  <c r="B77" i="7"/>
  <c r="B120" i="6"/>
  <c r="B110" i="6"/>
  <c r="B97" i="5"/>
  <c r="B87" i="5"/>
  <c r="AB53" i="13" l="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RICHVALUE" minSupportedVersion="120000" copy="1" pasteAll="1" pasteValues="1" merge="1" splitFirst="1" rowColShift="1" clearFormats="1" clearComments="1" assign="1" coerce="1"/>
    <metadataType name="XLDAPR" minSupportedVersion="120000" copy="1" pasteAll="1" pasteValues="1" merge="1" splitFirst="1" rowColShift="1" clearFormats="1" clearComments="1" assign="1" coerce="1" cellMeta="1"/>
  </metadataTypes>
  <futureMetadata name="XLRICHVALUE" count="1">
    <bk>
      <extLst>
        <ext uri="{3e2802c4-a4d2-4d8b-9148-e3be6c30e623}">
          <xlrd:rvb i="0"/>
        </ext>
      </extLst>
    </bk>
  </futureMetadata>
  <futureMetadata name="XLDAPR" count="1">
    <bk>
      <extLst>
        <ext uri="{bdbb8cdc-fa1e-496e-a857-3c3f30c029c3}">
          <xda:dynamicArrayProperties fDynamic="1" fCollapsed="0"/>
        </ext>
      </extLst>
    </bk>
  </futureMetadata>
  <cellMetadata count="1">
    <bk>
      <rc t="2" v="0"/>
    </bk>
  </cellMetadata>
  <valueMetadata count="1">
    <bk>
      <rc t="1" v="0"/>
    </bk>
  </valueMetadata>
</metadata>
</file>

<file path=xl/sharedStrings.xml><?xml version="1.0" encoding="utf-8"?>
<sst xmlns="http://schemas.openxmlformats.org/spreadsheetml/2006/main" count="2396" uniqueCount="1412">
  <si>
    <t>Seleccione</t>
  </si>
  <si>
    <t>ENTRETENIMIENTO</t>
  </si>
  <si>
    <t>FINANCIERO</t>
  </si>
  <si>
    <t>GOBIERNO</t>
  </si>
  <si>
    <t>OTROS SERVICIOS</t>
  </si>
  <si>
    <t>DATOS DE LA EMPRESA</t>
  </si>
  <si>
    <t>SALUD Y BELLEZA</t>
  </si>
  <si>
    <t>SERVICIOS EMPRESARIALES</t>
  </si>
  <si>
    <t>SERVICIOS PUBLICOS Y TV POR CABLE</t>
  </si>
  <si>
    <t>DD    / MM    / AAAA</t>
  </si>
  <si>
    <t>TECNOLOGÍA Y COMUNICACIONES</t>
  </si>
  <si>
    <t>TRANSPORTE</t>
  </si>
  <si>
    <t>VIVIENDA</t>
  </si>
  <si>
    <t>BANCOLOMBIA</t>
  </si>
  <si>
    <t>SI</t>
  </si>
  <si>
    <t>CITIBANK</t>
  </si>
  <si>
    <t>- seleccione -</t>
  </si>
  <si>
    <t>FUNCIONALIDAD FORMULARIO DE PAGO</t>
  </si>
  <si>
    <t>Nombre empresa:</t>
  </si>
  <si>
    <t>NIT:</t>
  </si>
  <si>
    <t>Fecha diligenciamiento del formato:</t>
  </si>
  <si>
    <t>REQUISITOS GENERALES</t>
  </si>
  <si>
    <t>REQUERIMIENTOS GENERALES</t>
  </si>
  <si>
    <t>INFORMACIÓN PARA LA FACTURACIÓN</t>
  </si>
  <si>
    <t>Desde:</t>
  </si>
  <si>
    <t>dd</t>
  </si>
  <si>
    <t>Hasta:</t>
  </si>
  <si>
    <t>Relacione la documentación requerida para la inscripción:</t>
  </si>
  <si>
    <t>Datos de la persona a la cual va dirigida la factura.</t>
  </si>
  <si>
    <t>REQUERIMIENTOS ESPECIFICOS POR TIPO DE FUNCIONALIDAD</t>
  </si>
  <si>
    <t>A continuación se deben detallar los parámetros, estos definirán la visualización para el usuario final:</t>
  </si>
  <si>
    <t>Los siguientes campos deben ser diligenciados obligatoriamente por sus clientes en la funcionalidad configurada.   Usted puede modificar el nombre de los campo, por ejemplo el valor total del pago puede cambiarse por valor de la consignación.</t>
  </si>
  <si>
    <t>CAMPO</t>
  </si>
  <si>
    <t>NOMBRE PERSONALIZADO</t>
  </si>
  <si>
    <t>DESCRIPCIÓN O TEXTO DE AYUDA</t>
  </si>
  <si>
    <t>ORDEN DE UBICACIÓN</t>
  </si>
  <si>
    <t>NO</t>
  </si>
  <si>
    <t>Campos que pueden ocultarse no modificables</t>
  </si>
  <si>
    <t>Los siguientes campos son de uso exclusivo para los datos de IVA y correo electrónico,  si su empresa no requiere estos campos solicite ocultarlos</t>
  </si>
  <si>
    <t>VISIBILIDAD</t>
  </si>
  <si>
    <t>OBLIGATORIO</t>
  </si>
  <si>
    <t>Oculto</t>
  </si>
  <si>
    <t>Campos personalizables</t>
  </si>
  <si>
    <t>Los siguientes campos pueden ser utilizados para registrar en ellos cualquier tipo de información alfanumérica, como por ejemplo: nombre, apellidos, teléfonos, cedulas, etc.</t>
  </si>
  <si>
    <t>Campo adicional 1:</t>
  </si>
  <si>
    <t>Campo adicional 2:</t>
  </si>
  <si>
    <t>Campo adicional 3:</t>
  </si>
  <si>
    <t>Campo adicional 4:</t>
  </si>
  <si>
    <t>OBSERVACIONES</t>
  </si>
  <si>
    <t>FUNCIONALIDAD CARGA DE FACTURA</t>
  </si>
  <si>
    <t>Recuerde que además de diligenciar este formulario debe anexar al mismo la siguiente información de acuerdo con el tipo de funcionalidad</t>
  </si>
  <si>
    <t>Para la configuración de estos campos se requiere definir los siguientes criterios:</t>
  </si>
  <si>
    <t>Campos de la funcionalidad</t>
  </si>
  <si>
    <t xml:space="preserve">VARIABLE </t>
  </si>
  <si>
    <t>Campos en Proceso de Pago</t>
  </si>
  <si>
    <t>Utilizado en Archivo Plano</t>
  </si>
  <si>
    <t>Orden de los Campos</t>
  </si>
  <si>
    <t>Obligatorio</t>
  </si>
  <si>
    <t>Campo adicional 5:</t>
  </si>
  <si>
    <t>Campo adicional 6:</t>
  </si>
  <si>
    <t>Campo adicional 7:</t>
  </si>
  <si>
    <t>Campo adicional 8:</t>
  </si>
  <si>
    <t>Campo adicional 9:</t>
  </si>
  <si>
    <t>No Aplica</t>
  </si>
  <si>
    <t>FUNCIONALIDAD CONEXIÓN INTEGRADA DE FACTURA</t>
  </si>
  <si>
    <t>(Registre aquí, formato VPN)</t>
  </si>
  <si>
    <t>¿Cual?</t>
  </si>
  <si>
    <r>
      <t xml:space="preserve">Relacione la siguiente información en el </t>
    </r>
    <r>
      <rPr>
        <b/>
        <i/>
        <sz val="10"/>
        <color indexed="8"/>
        <rFont val="Calibri"/>
        <family val="2"/>
      </rPr>
      <t>ambiente de pruebas</t>
    </r>
    <r>
      <rPr>
        <sz val="10"/>
        <color indexed="8"/>
        <rFont val="Calibri"/>
        <family val="2"/>
      </rPr>
      <t>, esta información puede ser proporcionada durante la certificación:</t>
    </r>
  </si>
  <si>
    <t>URL VOLVER AL INICIO:</t>
  </si>
  <si>
    <r>
      <t xml:space="preserve">Relacione la siguiente información en el </t>
    </r>
    <r>
      <rPr>
        <b/>
        <i/>
        <sz val="10"/>
        <color indexed="8"/>
        <rFont val="Calibri"/>
        <family val="2"/>
      </rPr>
      <t>ambiente de producción</t>
    </r>
    <r>
      <rPr>
        <sz val="10"/>
        <color indexed="8"/>
        <rFont val="Calibri"/>
        <family val="2"/>
      </rPr>
      <t>:</t>
    </r>
  </si>
  <si>
    <t>Campos a configurar en la funcionalidad</t>
  </si>
  <si>
    <t xml:space="preserve">Los siguientes campos deben ser diligenciados obligatoriamente por sus clientes sin embargo su nombre puede ser modificado, por ejemplo el valor total del pago puede cambiarse por valor de la consignación. </t>
  </si>
  <si>
    <t>VISIBILIDAD EN LA FUNCIONALIDAD</t>
  </si>
  <si>
    <t>UTILIZADO EN LA COMUNICACIÓN</t>
  </si>
  <si>
    <t>Visible</t>
  </si>
  <si>
    <t>Valor Pago Acumulado:</t>
  </si>
  <si>
    <t>Otro Valor de Pago:</t>
  </si>
  <si>
    <t>FUNCIONALIDAD CONEXIÓN EN LÍNEA</t>
  </si>
  <si>
    <t>Producto / Servicio</t>
  </si>
  <si>
    <t>Contactos</t>
  </si>
  <si>
    <t xml:space="preserve">Nombre </t>
  </si>
  <si>
    <t xml:space="preserve">Teléfono </t>
  </si>
  <si>
    <t>Correo Electrónico</t>
  </si>
  <si>
    <t xml:space="preserve">Información del Terminador </t>
  </si>
  <si>
    <t>Terminador VPN de ACH Colombia</t>
  </si>
  <si>
    <t>JUNIPER</t>
  </si>
  <si>
    <t>200.1.124.132</t>
  </si>
  <si>
    <t>Propiedades del túnel</t>
  </si>
  <si>
    <t xml:space="preserve">Método de Autenticación </t>
  </si>
  <si>
    <t>PRE-SHARED KEY</t>
  </si>
  <si>
    <t xml:space="preserve">Grupo Diffie-Hellman </t>
  </si>
  <si>
    <t>[RECOMENDADO AES256]</t>
  </si>
  <si>
    <t>Algoritmo de Hashing</t>
  </si>
  <si>
    <t>Modo Main o Agresivo</t>
  </si>
  <si>
    <t>[RECOMENDADO MAIN]</t>
  </si>
  <si>
    <t>Lifetime</t>
  </si>
  <si>
    <t>[RECOMENDADO 86400 S]</t>
  </si>
  <si>
    <t xml:space="preserve">Encapsulación </t>
  </si>
  <si>
    <t>[RECOMENDADO ESP]</t>
  </si>
  <si>
    <t xml:space="preserve">Algoritmo de Autenticación </t>
  </si>
  <si>
    <t>Perfect Forward Secrecy</t>
  </si>
  <si>
    <t>[RECOMENDADO 3600 S]</t>
  </si>
  <si>
    <t>Observaciones</t>
  </si>
  <si>
    <t>200.1.124.64/28</t>
  </si>
  <si>
    <t>IP Host Origen</t>
  </si>
  <si>
    <t>IP Host Destino</t>
  </si>
  <si>
    <t>Servicio / Puerto</t>
  </si>
  <si>
    <t xml:space="preserve">200.1.124.65 </t>
  </si>
  <si>
    <t>200.1.124.131</t>
  </si>
  <si>
    <t>200.1.124.112/28</t>
  </si>
  <si>
    <t>[“IP_2”]/32</t>
  </si>
  <si>
    <t>200.1.124.65</t>
  </si>
  <si>
    <t>200.1.124.118</t>
  </si>
  <si>
    <t>PSE / 443</t>
  </si>
  <si>
    <t>Color Boton Pagar</t>
  </si>
  <si>
    <t>Color de Fondo</t>
  </si>
  <si>
    <t>Color del Tema</t>
  </si>
  <si>
    <t>MODIFIQUE EL COLOR</t>
  </si>
  <si>
    <t>Plantilla Tipo 5</t>
  </si>
  <si>
    <t>Plantilla Tipo 4</t>
  </si>
  <si>
    <t>Plantilla Tipo 3</t>
  </si>
  <si>
    <t>Plantilla Tipo 2</t>
  </si>
  <si>
    <t>Plantilla Tipo 1</t>
  </si>
  <si>
    <t>SELECCIONE</t>
  </si>
  <si>
    <t>DPC</t>
  </si>
  <si>
    <t>Producción</t>
  </si>
  <si>
    <t>Pruebas</t>
  </si>
  <si>
    <t xml:space="preserve">No Requerido </t>
  </si>
  <si>
    <t>200.1.124.136/32</t>
  </si>
  <si>
    <t>d.    Reglas de Acceso para la VPN con PSE Regla 1</t>
  </si>
  <si>
    <t>200.1.124.136</t>
  </si>
  <si>
    <t>DP</t>
  </si>
  <si>
    <t>Contacto VPN</t>
  </si>
  <si>
    <t>200.1.124.122</t>
  </si>
  <si>
    <t>CIF</t>
  </si>
  <si>
    <t>CL</t>
  </si>
  <si>
    <t>Terminador VPN del Cliente en Producción</t>
  </si>
  <si>
    <t>Terminador VPN del Cliente en Pruebas</t>
  </si>
  <si>
    <t>d.    Reglas de Acceso para la VPN con PSE Regla 2</t>
  </si>
  <si>
    <t>Dirección IP Publica Produccion</t>
  </si>
  <si>
    <t>Dirección IP Publica Pruebas</t>
  </si>
  <si>
    <t>Preshared temporal hasta  subir la VPN es 1616conexion</t>
  </si>
  <si>
    <t xml:space="preserve">El Preshared Key definitivo será generado en el momento de la configuración. </t>
  </si>
  <si>
    <t>20 caracteres (10 vía e-mail – 10 vía telefónica)</t>
  </si>
  <si>
    <t>Rango 1</t>
  </si>
  <si>
    <t>CSV</t>
  </si>
  <si>
    <t>CON SEPARADOR:</t>
  </si>
  <si>
    <t>|</t>
  </si>
  <si>
    <t>TEXTO DE AYUDA</t>
  </si>
  <si>
    <t xml:space="preserve">Valor IVA: </t>
  </si>
  <si>
    <t xml:space="preserve">Email: </t>
  </si>
  <si>
    <t>¿CON VALORES FIJOS?</t>
  </si>
  <si>
    <t>¿MAS DE UN SERVICIO?</t>
  </si>
  <si>
    <t>Identificación del pago:</t>
  </si>
  <si>
    <t xml:space="preserve">Categoria o Segmento Comercial: </t>
  </si>
  <si>
    <t xml:space="preserve">Seleccione el diseño con la cual será configurada su funcionalidada: </t>
  </si>
  <si>
    <t>Valor de configuración de la Funcionalidad:</t>
  </si>
  <si>
    <t>¿Quién Paga?</t>
  </si>
  <si>
    <t xml:space="preserve">Fecha límite de recepción de fáctura: </t>
  </si>
  <si>
    <t xml:space="preserve">Condiciones adicionales para la facturación: </t>
  </si>
  <si>
    <t xml:space="preserve">¿Se requiere proceso de inscripción de ACH Colombia como proveedor? </t>
  </si>
  <si>
    <t xml:space="preserve">Nombre de la persona a la cual se dirige la factura: </t>
  </si>
  <si>
    <t xml:space="preserve">Dirección: </t>
  </si>
  <si>
    <t xml:space="preserve">Ciudad: </t>
  </si>
  <si>
    <t xml:space="preserve">Teléfono: </t>
  </si>
  <si>
    <t xml:space="preserve">E-mail para enviar factura escaneada: </t>
  </si>
  <si>
    <t>Campo 1</t>
  </si>
  <si>
    <t>Campo 2</t>
  </si>
  <si>
    <t>Campo 3</t>
  </si>
  <si>
    <t>Campo 4</t>
  </si>
  <si>
    <t>Campo 5</t>
  </si>
  <si>
    <t>Campo 6</t>
  </si>
  <si>
    <t>Campo 7</t>
  </si>
  <si>
    <t>Campo 8</t>
  </si>
  <si>
    <t>Campo 9</t>
  </si>
  <si>
    <t>Campo 10</t>
  </si>
  <si>
    <t>A continuación se deben detallar los parámetros, estos definirán la visualización para el usuario final y el funcionamiento:</t>
  </si>
  <si>
    <t>Campos personalizables obligatorios</t>
  </si>
  <si>
    <t>Funcionamiento especial de campos</t>
  </si>
  <si>
    <t>CON LISTA DESPLEGABLE</t>
  </si>
  <si>
    <t xml:space="preserve">  son obligatorios y deben ser diligenciados o seleccionados.</t>
  </si>
  <si>
    <t xml:space="preserve">                        Todos los campos resaltados</t>
  </si>
  <si>
    <t xml:space="preserve">               Todos los campos resaltados</t>
  </si>
  <si>
    <t xml:space="preserve">FORMATO PARA CARGAR LAS FACTURAS: </t>
  </si>
  <si>
    <t xml:space="preserve">CAMPO DE BUSQUEDA: </t>
  </si>
  <si>
    <t xml:space="preserve">VALIDACIÓN DE CAMPO: </t>
  </si>
  <si>
    <t xml:space="preserve">MODALIDAD DE PAGO: </t>
  </si>
  <si>
    <t xml:space="preserve">VALOR DEL PAGO: </t>
  </si>
  <si>
    <t xml:space="preserve">FECHAS DE VENCIMIENTO A UTILIZAR: </t>
  </si>
  <si>
    <t xml:space="preserve">USAR MAS DE UN CÓDIGO DE SERVICIO: </t>
  </si>
  <si>
    <t xml:space="preserve">Tipo de Identificación del cliente: </t>
  </si>
  <si>
    <t xml:space="preserve">Identificación del cliente: </t>
  </si>
  <si>
    <t xml:space="preserve">Descripción del pago:  </t>
  </si>
  <si>
    <t xml:space="preserve">Identificación cliente en la empresa: </t>
  </si>
  <si>
    <t xml:space="preserve">Numero de Factura: </t>
  </si>
  <si>
    <t xml:space="preserve">Primer valor total a pagar: </t>
  </si>
  <si>
    <t xml:space="preserve">Primer valor Impuesto: </t>
  </si>
  <si>
    <t xml:space="preserve">Campo de validación: </t>
  </si>
  <si>
    <t xml:space="preserve">Código de servicio en PSE: </t>
  </si>
  <si>
    <t xml:space="preserve">Primera fecha de vencimiento: </t>
  </si>
  <si>
    <t xml:space="preserve">Segundo valor total a pagar: </t>
  </si>
  <si>
    <t xml:space="preserve">Segundo valor Impuesto: </t>
  </si>
  <si>
    <t xml:space="preserve">Segunda fecha de vencimiento: </t>
  </si>
  <si>
    <t xml:space="preserve">Segunda descripción del pago: </t>
  </si>
  <si>
    <t xml:space="preserve">Tercer valor total a pagar: </t>
  </si>
  <si>
    <t xml:space="preserve">Tercer valor Impuesto: </t>
  </si>
  <si>
    <t xml:space="preserve">Tercera fecha de vencimiento: </t>
  </si>
  <si>
    <t xml:space="preserve">Tercera descripción del pago: </t>
  </si>
  <si>
    <t xml:space="preserve">Formato de Conexión tunel VPN </t>
  </si>
  <si>
    <t xml:space="preserve">LENGUAJE DE PROGRAMACIÓN: </t>
  </si>
  <si>
    <t xml:space="preserve">UTILIZAR MÚLTIPLES VALORES DE PAGO: </t>
  </si>
  <si>
    <t xml:space="preserve">Código GTIN 13 o EAN </t>
  </si>
  <si>
    <t xml:space="preserve">Limite de facturas </t>
  </si>
  <si>
    <t xml:space="preserve">Llave de consulta: </t>
  </si>
  <si>
    <t xml:space="preserve">Contraseña de consulta: </t>
  </si>
  <si>
    <t xml:space="preserve">Valor total a pagar: </t>
  </si>
  <si>
    <t xml:space="preserve">Correo Electronico: </t>
  </si>
  <si>
    <t xml:space="preserve">Boton Pagar:  </t>
  </si>
  <si>
    <t xml:space="preserve">Captcha: </t>
  </si>
  <si>
    <t xml:space="preserve">Descripción del pago: </t>
  </si>
  <si>
    <t xml:space="preserve">Fecha de vencimiento factura: </t>
  </si>
  <si>
    <t xml:space="preserve">Tipo de identificación del cliente: </t>
  </si>
  <si>
    <t xml:space="preserve">Impuesto o IVA: </t>
  </si>
  <si>
    <t xml:space="preserve">VPN </t>
  </si>
  <si>
    <t>Información  Técnica</t>
  </si>
  <si>
    <t xml:space="preserve"> Información de Configuración.</t>
  </si>
  <si>
    <r>
      <rPr>
        <sz val="7"/>
        <color indexed="8"/>
        <rFont val="Times New Roman"/>
        <family val="1"/>
      </rPr>
      <t xml:space="preserve"> </t>
    </r>
    <r>
      <rPr>
        <sz val="11"/>
        <color indexed="8"/>
        <rFont val="Franklin Gothic Book"/>
        <family val="2"/>
      </rPr>
      <t>Ser de un rango público válido.</t>
    </r>
  </si>
  <si>
    <t>Tener máscara /32.</t>
  </si>
  <si>
    <t>Reglas de Acceso para la VPN con PSE</t>
  </si>
  <si>
    <t>REGRESAR</t>
  </si>
  <si>
    <t>Banco</t>
  </si>
  <si>
    <t>DATOS DE INFRAESTRUCTURA CLIENTE</t>
  </si>
  <si>
    <t>Información de contactos</t>
  </si>
  <si>
    <t>Al diligenciar los siguientes campos podrá indicar si se manejan diferentes conceptos de recaudo y si estos están atados a valores fijos, de igual forma podrá direccionar el recaudo a diferentes cuentas a través de los códigos de servicio.</t>
  </si>
  <si>
    <t>Categoria</t>
  </si>
  <si>
    <t>Bancos</t>
  </si>
  <si>
    <t>BANCO_AGRARIO</t>
  </si>
  <si>
    <t>COMERCIO</t>
  </si>
  <si>
    <t>EDUCACION</t>
  </si>
  <si>
    <t>BANCO_AV_VILLAS</t>
  </si>
  <si>
    <t>BANCO_BBVA_COLOMBIA_S.A.</t>
  </si>
  <si>
    <t>BANCO_CAJA_SOCIAL</t>
  </si>
  <si>
    <t>BANCO_COLPATRIA</t>
  </si>
  <si>
    <t>BANCO_COOPERATIVO_COOPCENTRAL</t>
  </si>
  <si>
    <t>BANCO_CORPBANCA_S.A</t>
  </si>
  <si>
    <t>BANCO_DAVIVIENDA</t>
  </si>
  <si>
    <t>BANCO_DE_BOGOTA</t>
  </si>
  <si>
    <t>BANCO_DE_OCCIDENTE</t>
  </si>
  <si>
    <t>BANCO_FALABELLA</t>
  </si>
  <si>
    <t>BANCO_GNB_SUDAMERIS</t>
  </si>
  <si>
    <t>BANCO_PICHINCHA_S.A.</t>
  </si>
  <si>
    <t>BANCO_POPULAR</t>
  </si>
  <si>
    <t>BANCO_PROCREDIT</t>
  </si>
  <si>
    <t>BANCOOMEVA_S.A.</t>
  </si>
  <si>
    <t>Servicios de Transporte</t>
  </si>
  <si>
    <t>Instituciones Educativas</t>
  </si>
  <si>
    <t>Establecimientos Comerciales</t>
  </si>
  <si>
    <t>Administraciones de Vivienda y Servicios Inmobiliarios</t>
  </si>
  <si>
    <t>Telecomunicaciones</t>
  </si>
  <si>
    <t>Servicios Notariales y Corporativos</t>
  </si>
  <si>
    <t>Telefonía Móvil</t>
  </si>
  <si>
    <t>Pagos de Gobierno</t>
  </si>
  <si>
    <t>Hoteles</t>
  </si>
  <si>
    <t>Cooperativas</t>
  </si>
  <si>
    <t>Asociaciones y Fondos de Empleados</t>
  </si>
  <si>
    <t>Cajas de Compensación</t>
  </si>
  <si>
    <t>Servicios Públicos</t>
  </si>
  <si>
    <t>Otros Servicios</t>
  </si>
  <si>
    <t>Salud</t>
  </si>
  <si>
    <t>Entretenimiento</t>
  </si>
  <si>
    <t>Embajadas</t>
  </si>
  <si>
    <t>Productos Banco de Occidente</t>
  </si>
  <si>
    <t>Carga y Transportes</t>
  </si>
  <si>
    <t>Comercializadoras</t>
  </si>
  <si>
    <t>Colegio e Instituciones Educativas</t>
  </si>
  <si>
    <t>Comercios</t>
  </si>
  <si>
    <t>Concesionarios</t>
  </si>
  <si>
    <t>Conjuntos Residenciales</t>
  </si>
  <si>
    <t>Distribuidoras</t>
  </si>
  <si>
    <t>Fundaciones</t>
  </si>
  <si>
    <t>Gobierno e Impuestos</t>
  </si>
  <si>
    <t>Créditos Bancolombia</t>
  </si>
  <si>
    <t>Administraciones</t>
  </si>
  <si>
    <t>CCF, Fondos y Cesantías</t>
  </si>
  <si>
    <t>Comercio</t>
  </si>
  <si>
    <t>Educación</t>
  </si>
  <si>
    <t>Gremios y Fundaciones</t>
  </si>
  <si>
    <t>Hoteles y Turismo</t>
  </si>
  <si>
    <t>Seguros</t>
  </si>
  <si>
    <t>Servicios Empresariales</t>
  </si>
  <si>
    <t>Servicios Financieros</t>
  </si>
  <si>
    <t>Suscripciones</t>
  </si>
  <si>
    <t>Tecnología</t>
  </si>
  <si>
    <t>Telefonía y TV por cable</t>
  </si>
  <si>
    <t>Transporte</t>
  </si>
  <si>
    <t>Vigilancia</t>
  </si>
  <si>
    <t>Vivienda</t>
  </si>
  <si>
    <t>Servicio</t>
  </si>
  <si>
    <t xml:space="preserve">Pasarela </t>
  </si>
  <si>
    <t>0111</t>
  </si>
  <si>
    <t>Cultivo de cereales (excepto arroz), legumbres y semillas oleaginosas.</t>
  </si>
  <si>
    <t>0112</t>
  </si>
  <si>
    <t>Cultivo de arroz.</t>
  </si>
  <si>
    <t>0113</t>
  </si>
  <si>
    <t>Cultivo de hortalizas, raíces y tubérculos.</t>
  </si>
  <si>
    <t>0114</t>
  </si>
  <si>
    <t>Cultivo de tabaco.</t>
  </si>
  <si>
    <t>0115</t>
  </si>
  <si>
    <t>Cultivo de plantas textiles.</t>
  </si>
  <si>
    <t>0119</t>
  </si>
  <si>
    <t>Otros cultivos transitorios n.c.p.</t>
  </si>
  <si>
    <t>0121</t>
  </si>
  <si>
    <t>Cultivo de frutas tropicales y subtropicales.</t>
  </si>
  <si>
    <t>0122</t>
  </si>
  <si>
    <t>Cultivo de plátano y banano.</t>
  </si>
  <si>
    <t>0123</t>
  </si>
  <si>
    <t>Cultivo de café.</t>
  </si>
  <si>
    <t>0124</t>
  </si>
  <si>
    <t>Cultivo de caña de azúcar.</t>
  </si>
  <si>
    <t>0125</t>
  </si>
  <si>
    <t>Cultivo de flor de corte.</t>
  </si>
  <si>
    <t>0126</t>
  </si>
  <si>
    <t>Cultivo de palma para aceite (palma africana) y otros frutos oleaginosos.</t>
  </si>
  <si>
    <t>0127</t>
  </si>
  <si>
    <t>Cultivo de plantas con las que se preparan bebidas.</t>
  </si>
  <si>
    <t>0128</t>
  </si>
  <si>
    <t>Cultivo de especias y de plantas aromáticas y medicinales.</t>
  </si>
  <si>
    <t>0129</t>
  </si>
  <si>
    <t>Otros cultivos permanentes n.c.p.</t>
  </si>
  <si>
    <t>0130</t>
  </si>
  <si>
    <t>Propagación de plantas (actividades de los viveros, excepto viveros foresta</t>
  </si>
  <si>
    <t>0141</t>
  </si>
  <si>
    <t>Cría de ganado bovino y bufalino.</t>
  </si>
  <si>
    <t>0142</t>
  </si>
  <si>
    <t>Cría de caballos y otros equinos.</t>
  </si>
  <si>
    <t>0143</t>
  </si>
  <si>
    <t>Cría de ovejas y cabras.</t>
  </si>
  <si>
    <t>0144</t>
  </si>
  <si>
    <t>Cría de ganado porcino.</t>
  </si>
  <si>
    <t>0145</t>
  </si>
  <si>
    <t>Cría de aves de corral.</t>
  </si>
  <si>
    <t>0149</t>
  </si>
  <si>
    <t>Cría de otros animales n.c.p.</t>
  </si>
  <si>
    <t>0150</t>
  </si>
  <si>
    <t>Explotación mixta (agrícola y pecuaria).</t>
  </si>
  <si>
    <t>0161</t>
  </si>
  <si>
    <t>Actividades de apoyo a la agricultura.</t>
  </si>
  <si>
    <t>0162</t>
  </si>
  <si>
    <t>Actividades de apoyo a la ganadería.</t>
  </si>
  <si>
    <t>0163</t>
  </si>
  <si>
    <t>Actividades posteriores a la cosecha.</t>
  </si>
  <si>
    <t>0164</t>
  </si>
  <si>
    <t>Tratamiento de semillas para propagación.</t>
  </si>
  <si>
    <t>0170</t>
  </si>
  <si>
    <t>Caza ordinaria y mediante trampas y actividades de servicios conexas.</t>
  </si>
  <si>
    <t>0210</t>
  </si>
  <si>
    <t>Silvicultura y otras actividades forestales.</t>
  </si>
  <si>
    <t>0220</t>
  </si>
  <si>
    <t>Extracción de madera.</t>
  </si>
  <si>
    <t>0230</t>
  </si>
  <si>
    <t>Recolección de productos forestales diferentes a la madera.</t>
  </si>
  <si>
    <t>0240</t>
  </si>
  <si>
    <t>Servicios de apoyo a la silvicultura.</t>
  </si>
  <si>
    <t>0311</t>
  </si>
  <si>
    <t>Pesca marítima.</t>
  </si>
  <si>
    <t>0312</t>
  </si>
  <si>
    <t>Pesca de agua dulce.</t>
  </si>
  <si>
    <t>0321</t>
  </si>
  <si>
    <t>Acuicultura marítima.</t>
  </si>
  <si>
    <t>0322</t>
  </si>
  <si>
    <t>Acuicultura de agua dulce.</t>
  </si>
  <si>
    <t>0510</t>
  </si>
  <si>
    <t>Extracción de hulla (carbón de piedra).</t>
  </si>
  <si>
    <t>0520</t>
  </si>
  <si>
    <t>Extracción de carbón lignito.</t>
  </si>
  <si>
    <t>0610</t>
  </si>
  <si>
    <t>Extracción de petróleo crudo.</t>
  </si>
  <si>
    <t>0620</t>
  </si>
  <si>
    <t>Extracción de gas natural.</t>
  </si>
  <si>
    <t>0710</t>
  </si>
  <si>
    <t>Extracción de minerales de hierro.</t>
  </si>
  <si>
    <t>0721</t>
  </si>
  <si>
    <t>Extracción de minerales de uranio y de torio.</t>
  </si>
  <si>
    <t>0722</t>
  </si>
  <si>
    <t>Extracción de oro y otros metales preciosos.</t>
  </si>
  <si>
    <t>0723</t>
  </si>
  <si>
    <t>Extracción de minerales de níquel.</t>
  </si>
  <si>
    <t>0729</t>
  </si>
  <si>
    <t>Extracción de otros minerales metalíferos no ferrosos n.c.p.</t>
  </si>
  <si>
    <t>0811</t>
  </si>
  <si>
    <t>Extracción de piedra, arena, arcillas comunes, yeso y anhidrita.</t>
  </si>
  <si>
    <t>0812</t>
  </si>
  <si>
    <t>Extracción de arcillas de uso industrial, caliza, caolín y bentonitas.</t>
  </si>
  <si>
    <t>0820</t>
  </si>
  <si>
    <t>Extracción de esmeraldas, piedras preciosas y semipreciosas.</t>
  </si>
  <si>
    <t>0891</t>
  </si>
  <si>
    <t>Extracción de minerales para la fabricación de abonos y productos químicos.</t>
  </si>
  <si>
    <t>0892</t>
  </si>
  <si>
    <t>Extracción de halita (sal).</t>
  </si>
  <si>
    <t>0899</t>
  </si>
  <si>
    <t>Extracción de otros minerales no metálicos n.c.p.</t>
  </si>
  <si>
    <t>0910</t>
  </si>
  <si>
    <t>Actividades de apoyo para la extracción de petróleo y de gas natural.</t>
  </si>
  <si>
    <t>0990</t>
  </si>
  <si>
    <t>Actividades de apoyo para otras actividades de explotación de minas y cante</t>
  </si>
  <si>
    <t>1011</t>
  </si>
  <si>
    <t>Procesamiento y conservación de carne y productos cárnicos.</t>
  </si>
  <si>
    <t>1012</t>
  </si>
  <si>
    <t>Procesamiento y conservación de pescados, crustáceos y moluscos.</t>
  </si>
  <si>
    <t>1020</t>
  </si>
  <si>
    <t>Procesamiento y conservación de frutas, legumbres, hortalizas y tubérculos.</t>
  </si>
  <si>
    <t>1030</t>
  </si>
  <si>
    <t>Elaboración de aceites y grasas de origen vegetal y animal.</t>
  </si>
  <si>
    <t>1040</t>
  </si>
  <si>
    <t>Elaboración de productos lácteos.</t>
  </si>
  <si>
    <t>1051</t>
  </si>
  <si>
    <t>Elaboración de productos de molinería.</t>
  </si>
  <si>
    <t>1052</t>
  </si>
  <si>
    <t>Elaboración de almidones y productos derivados del almidón.</t>
  </si>
  <si>
    <t>1061</t>
  </si>
  <si>
    <t>Trilla de café.</t>
  </si>
  <si>
    <t>1062</t>
  </si>
  <si>
    <t>Descafeinado, tostión y molienda del café.</t>
  </si>
  <si>
    <t>1063</t>
  </si>
  <si>
    <t>Otros derivados del café.</t>
  </si>
  <si>
    <t>1071</t>
  </si>
  <si>
    <t>Elaboración y refinación de azúcar.</t>
  </si>
  <si>
    <t>1072</t>
  </si>
  <si>
    <t>Elaboración de panela.</t>
  </si>
  <si>
    <t>1081</t>
  </si>
  <si>
    <t>Elaboración de productos de panadería.</t>
  </si>
  <si>
    <t>1082</t>
  </si>
  <si>
    <t>Elaboración de cacao, chocolate y productos de confitería.</t>
  </si>
  <si>
    <t>1083</t>
  </si>
  <si>
    <t>Elaboración de macarrones, fideos, alcuzcuz y productos farináceos similare</t>
  </si>
  <si>
    <t>1084</t>
  </si>
  <si>
    <t>Elaboración de comidas y platos preparados.</t>
  </si>
  <si>
    <t>1089</t>
  </si>
  <si>
    <t>Elaboración de otros productos alimenticios n.c.p.</t>
  </si>
  <si>
    <t>1090</t>
  </si>
  <si>
    <t>Elaboración de alimentos preparados para animales.</t>
  </si>
  <si>
    <t>1101</t>
  </si>
  <si>
    <t>Destilación, rectificación y mezcla de bebidas alcohólicas.</t>
  </si>
  <si>
    <t>1102</t>
  </si>
  <si>
    <t>Elaboración de bebidas fermentadas no destiladas.</t>
  </si>
  <si>
    <t>1103</t>
  </si>
  <si>
    <t>Producción de malta, elaboración de cervezas y otras bebidas malteadas.</t>
  </si>
  <si>
    <t>1104</t>
  </si>
  <si>
    <t>Elaboración de bebidas no alcohólicas, producción de aguas minerales y de o</t>
  </si>
  <si>
    <t>1200</t>
  </si>
  <si>
    <t>Elaboración de productos de tabaco.</t>
  </si>
  <si>
    <t>1311</t>
  </si>
  <si>
    <t>Preparación e hilatura de fibras textiles.</t>
  </si>
  <si>
    <t>1312</t>
  </si>
  <si>
    <t>Tejeduría de productos textiles.</t>
  </si>
  <si>
    <t>1313</t>
  </si>
  <si>
    <t>Acabado de productos textiles.</t>
  </si>
  <si>
    <t>1391</t>
  </si>
  <si>
    <t>Fabricación de tejidos de punto y ganchillo.</t>
  </si>
  <si>
    <t>1392</t>
  </si>
  <si>
    <t>Confección de artículos con materiales textiles, excepto prendas de vestir.</t>
  </si>
  <si>
    <t>1393</t>
  </si>
  <si>
    <t>Fabricación de tapetes y alfombras para pisos.</t>
  </si>
  <si>
    <t>1394</t>
  </si>
  <si>
    <t>Fabricación de cuerdas, cordeles, cables, bramantes y redes.</t>
  </si>
  <si>
    <t>1399</t>
  </si>
  <si>
    <t>Fabricación de otros artículos textiles n.c.p.</t>
  </si>
  <si>
    <t>1410</t>
  </si>
  <si>
    <t>Confección de prendas de vestir, excepto prendas de piel.</t>
  </si>
  <si>
    <t>1420</t>
  </si>
  <si>
    <t>Fabricación de artículos de piel.</t>
  </si>
  <si>
    <t>1430</t>
  </si>
  <si>
    <t>Fabricación de artículos de punto y ganchillo.</t>
  </si>
  <si>
    <t>1511</t>
  </si>
  <si>
    <t>Curtido y recurtido de cueros; recurtido y teñido de pieles.</t>
  </si>
  <si>
    <t>1512</t>
  </si>
  <si>
    <t>Fabricación de artículos de viaje, bolsos de mano y artículos similares ela</t>
  </si>
  <si>
    <t>1513</t>
  </si>
  <si>
    <t>Fabricación de artículos de viaje, bolsos de mano y artículos similares; ar</t>
  </si>
  <si>
    <t>1521</t>
  </si>
  <si>
    <t>Fabricación de calzado de cuero y piel, con cualquier tipo de suela.</t>
  </si>
  <si>
    <t>1522</t>
  </si>
  <si>
    <t>Fabricación de otros tipos de calzado, excepto calzado de cuero y piel.</t>
  </si>
  <si>
    <t>1523</t>
  </si>
  <si>
    <t>Fabricación de partes del calzado.</t>
  </si>
  <si>
    <t>1610</t>
  </si>
  <si>
    <t>Aserrado, acepillado e impregnación de la madera.</t>
  </si>
  <si>
    <t>1620</t>
  </si>
  <si>
    <t>Fabricación de hojas de madera para enchapado; fabricación de tableros cont</t>
  </si>
  <si>
    <t>1630</t>
  </si>
  <si>
    <t>Fabricación de partes y piezas de madera, de carpintería y ebanistería para</t>
  </si>
  <si>
    <t>1640</t>
  </si>
  <si>
    <t>Fabricación de recipientes de madera.</t>
  </si>
  <si>
    <t>1690</t>
  </si>
  <si>
    <t>Fabricación de otros productos de madera; fabricación de artículos de corch</t>
  </si>
  <si>
    <t>1701</t>
  </si>
  <si>
    <t>Fabricación de pulpas (pastas) celulósicas; papel y cartón.</t>
  </si>
  <si>
    <t>1702</t>
  </si>
  <si>
    <t>Fabricación de papel y cartón ondulado (corrugado); fabricación de envases,</t>
  </si>
  <si>
    <t>1709</t>
  </si>
  <si>
    <t>Fabricación de otros artículos de papel y cartón.</t>
  </si>
  <si>
    <t>1811</t>
  </si>
  <si>
    <t>Actividades de impresión.</t>
  </si>
  <si>
    <t>1812</t>
  </si>
  <si>
    <t>Actividades de servicios relacionados con la impresión.</t>
  </si>
  <si>
    <t>1820</t>
  </si>
  <si>
    <t>Producción de copias a partir de grabaciones originales.</t>
  </si>
  <si>
    <t>1910</t>
  </si>
  <si>
    <t>Fabricación de productos de hornos de coque.</t>
  </si>
  <si>
    <t>1921</t>
  </si>
  <si>
    <t>Fabricación de productos de la refinación del petróleo.</t>
  </si>
  <si>
    <t>1922</t>
  </si>
  <si>
    <t>Actividad de mezcla de combustibles.</t>
  </si>
  <si>
    <t>2011</t>
  </si>
  <si>
    <t>Fabricación de sustancias y productos químicos básicos.</t>
  </si>
  <si>
    <t>2012</t>
  </si>
  <si>
    <t>Fabricación de abonos y compuestos inorgánicos nitrogenados.</t>
  </si>
  <si>
    <t>2013</t>
  </si>
  <si>
    <t>Fabricación de plásticos en formas primarias.</t>
  </si>
  <si>
    <t>2014</t>
  </si>
  <si>
    <t>Fabricación de caucho sintético en formas primarias.</t>
  </si>
  <si>
    <t>2021</t>
  </si>
  <si>
    <t>Fabricación de plaguicidas y otros productos químicos de uso agropecuario.</t>
  </si>
  <si>
    <t>2022</t>
  </si>
  <si>
    <t>Fabricación de pinturas, barnices y revestimientos similares, tintas para i</t>
  </si>
  <si>
    <t>2023</t>
  </si>
  <si>
    <t>Fabricación de jabones y detergentes, preparados para limpiar y pulir; perf</t>
  </si>
  <si>
    <t>2029</t>
  </si>
  <si>
    <t>Fabricación de otros productos químicos n.c.p.</t>
  </si>
  <si>
    <t>2030</t>
  </si>
  <si>
    <t>Fabricación de fibras sintéticas y artificiales.</t>
  </si>
  <si>
    <t>2100</t>
  </si>
  <si>
    <t>Fabricación de productos farmacéuticos, sustancias químicas medicinales y p</t>
  </si>
  <si>
    <t>2211</t>
  </si>
  <si>
    <t>Fabricación de llantas y neumáticos de caucho</t>
  </si>
  <si>
    <t>2212</t>
  </si>
  <si>
    <t>Reencauche de llantas usadas</t>
  </si>
  <si>
    <t>2219</t>
  </si>
  <si>
    <t>Fabricación de formas básicas de caucho y otros productos de caucho n.c.p.</t>
  </si>
  <si>
    <t>2221</t>
  </si>
  <si>
    <t>Fabricación de formas básicas de plástico.</t>
  </si>
  <si>
    <t>2229</t>
  </si>
  <si>
    <t>Fabricación de artículos de plástico n.c.p.</t>
  </si>
  <si>
    <t>2310</t>
  </si>
  <si>
    <t>Fabricación de vidrio y productos de vidrio.</t>
  </si>
  <si>
    <t>2391</t>
  </si>
  <si>
    <t>Fabricación de productos refractarios.</t>
  </si>
  <si>
    <t>2392</t>
  </si>
  <si>
    <t>Fabricación de materiales de arcilla para la construcción.</t>
  </si>
  <si>
    <t>2393</t>
  </si>
  <si>
    <t>Fabricación de otros productos de cerámica y porcelana.</t>
  </si>
  <si>
    <t>2394</t>
  </si>
  <si>
    <t>Fabricación de cemento, cal y yeso.</t>
  </si>
  <si>
    <t>2395</t>
  </si>
  <si>
    <t>Fabricación de artículos de hormigón, cemento y yeso.</t>
  </si>
  <si>
    <t>2396</t>
  </si>
  <si>
    <t>Corte, tallado y acabado de la piedra.</t>
  </si>
  <si>
    <t>2399</t>
  </si>
  <si>
    <t>Fabricación de otros productos minerales no metálicos n.c.p.</t>
  </si>
  <si>
    <t>2410</t>
  </si>
  <si>
    <t>Industrias básicas de hierro y de acero.</t>
  </si>
  <si>
    <t>2421</t>
  </si>
  <si>
    <t>Industrias básicas de metales preciosos.</t>
  </si>
  <si>
    <t>2429</t>
  </si>
  <si>
    <t>Industrias básicas de otros metales no ferrosos.</t>
  </si>
  <si>
    <t>2431</t>
  </si>
  <si>
    <t>Fundición de hierro y de acero.</t>
  </si>
  <si>
    <t>2432</t>
  </si>
  <si>
    <t>Fundición de metales no ferrosos.</t>
  </si>
  <si>
    <t>2511</t>
  </si>
  <si>
    <t>Fabricación de productos metálicos para uso estructural.</t>
  </si>
  <si>
    <t>2512</t>
  </si>
  <si>
    <t>Fabricación de tanques, depósitos y recipientes de metal, excepto los utili</t>
  </si>
  <si>
    <t>2513</t>
  </si>
  <si>
    <t>Fabricación de generadores de vapor, excepto calderas de agua caliente para</t>
  </si>
  <si>
    <t>2520</t>
  </si>
  <si>
    <t>Fabricación de armas y municiones.</t>
  </si>
  <si>
    <t>2591</t>
  </si>
  <si>
    <t>Forja, prensado, estampado y laminado de metal; pulvimetalurgia.</t>
  </si>
  <si>
    <t>2592</t>
  </si>
  <si>
    <t>Tratamiento y revestimiento de metales; mecanizado.</t>
  </si>
  <si>
    <t>2593</t>
  </si>
  <si>
    <t>Fabricación de artículos de cuchillería, herramientas de mano y artículos d</t>
  </si>
  <si>
    <t>2599</t>
  </si>
  <si>
    <t>Fabricación de otros productos elaborados de metal n.c.p.</t>
  </si>
  <si>
    <t>2610</t>
  </si>
  <si>
    <t>Fabricación de componentes y tableros electrónicos.</t>
  </si>
  <si>
    <t>2620</t>
  </si>
  <si>
    <t>Fabricación de computadoras y de equipo periférico.</t>
  </si>
  <si>
    <t>2630</t>
  </si>
  <si>
    <t>Fabricación de equipos de comunicación.</t>
  </si>
  <si>
    <t>2640</t>
  </si>
  <si>
    <t>Fabricación de aparatos electrónicos de consumo.</t>
  </si>
  <si>
    <t>2651</t>
  </si>
  <si>
    <t>Fabricación de equipo de medición, prueba, navegación y control.</t>
  </si>
  <si>
    <t>2652</t>
  </si>
  <si>
    <t>Fabricación de relojes.</t>
  </si>
  <si>
    <t>2660</t>
  </si>
  <si>
    <t>Fabricación de equipo de irradiación y equipo electrónico de uso médico y t</t>
  </si>
  <si>
    <t>2670</t>
  </si>
  <si>
    <t>Fabricación de instrumentos ópticos y equipo fotográfico.</t>
  </si>
  <si>
    <t>2680</t>
  </si>
  <si>
    <t>Fabricación de medios magnéticos y ópticos para almacenamiento de datos.</t>
  </si>
  <si>
    <t>2711</t>
  </si>
  <si>
    <t>Fabricación de motores, generadores y transformadores eléctricos.</t>
  </si>
  <si>
    <t>2712</t>
  </si>
  <si>
    <t>Fabricación de aparatos de distribución y control de la energía eléctrica.</t>
  </si>
  <si>
    <t>2720</t>
  </si>
  <si>
    <t>Fabricación de pilas, baterías y acumuladores eléctricos.</t>
  </si>
  <si>
    <t>2731</t>
  </si>
  <si>
    <t>Fabricación de hilos y cables eléctricos y de fibra óptica.</t>
  </si>
  <si>
    <t>2732</t>
  </si>
  <si>
    <t>Fabricación de dispositivos de cableado.</t>
  </si>
  <si>
    <t>2740</t>
  </si>
  <si>
    <t>Fabricación de equipos eléctricos de iluminación.</t>
  </si>
  <si>
    <t>2750</t>
  </si>
  <si>
    <t>Fabricación de aparatos de uso doméstico.</t>
  </si>
  <si>
    <t>2790</t>
  </si>
  <si>
    <t>Fabricación de otros tipos de equipo eléctrico n.c.p.</t>
  </si>
  <si>
    <t>2811</t>
  </si>
  <si>
    <t>Fabricación de motores, turbinas, y partes para motores de combustión inter</t>
  </si>
  <si>
    <t>2812</t>
  </si>
  <si>
    <t>Fabricación de equipos de potencia hidráulica y neumática.</t>
  </si>
  <si>
    <t>2813</t>
  </si>
  <si>
    <t>Fabricación de otras bombas, compresores, grifos y válvulas.</t>
  </si>
  <si>
    <t>2814</t>
  </si>
  <si>
    <t>Fabricación de cojinetes, engranajes, trenes de engranajes y piezas de tran</t>
  </si>
  <si>
    <t>2815</t>
  </si>
  <si>
    <t>Fabricación de hornos, hogares y quemadores industriales.</t>
  </si>
  <si>
    <t>2816</t>
  </si>
  <si>
    <t>Fabricación de equipo de elevación y manipulación.</t>
  </si>
  <si>
    <t>2817</t>
  </si>
  <si>
    <t>Fabricación de maquinaria y equipo de oficina (excepto computadoras y equip</t>
  </si>
  <si>
    <t>2818</t>
  </si>
  <si>
    <t>Fabricación de herramientas manuales con motor.</t>
  </si>
  <si>
    <t>2819</t>
  </si>
  <si>
    <t>Fabricación de otros tipos de maquinaria y equipo de uso general n.c.p.</t>
  </si>
  <si>
    <t>2821</t>
  </si>
  <si>
    <t>Fabricación de maquinaria agropecuaria y forestal.</t>
  </si>
  <si>
    <t>2822</t>
  </si>
  <si>
    <t>Fabricación de máquinas formadoras de metal y de máquinas herramienta.</t>
  </si>
  <si>
    <t>2823</t>
  </si>
  <si>
    <t>Fabricación de maquinaria para la metalurgia.</t>
  </si>
  <si>
    <t>2824</t>
  </si>
  <si>
    <t>Fabricación de maquinaria para explotación de minas y canteras y para obras</t>
  </si>
  <si>
    <t>2825</t>
  </si>
  <si>
    <t>Fabricación de maquinaria para la elaboración de alimentos, bebidas y tabac</t>
  </si>
  <si>
    <t>2826</t>
  </si>
  <si>
    <t>Fabricación de maquinaria para la elaboración de productos textiles, prenda</t>
  </si>
  <si>
    <t>2829</t>
  </si>
  <si>
    <t>Fabricación de otros tipos de maquinaria y equipo de uso especial n.c.p.</t>
  </si>
  <si>
    <t>2910</t>
  </si>
  <si>
    <t>Fabricación de vehículos automotores y sus motores.</t>
  </si>
  <si>
    <t>2920</t>
  </si>
  <si>
    <t>Fabricación de carrocerías para vehículos automotores; fabricación de remol</t>
  </si>
  <si>
    <t>2930</t>
  </si>
  <si>
    <t>Fabricación de partes, piezas (autopartes) y accesorios (lujos) para vehícu</t>
  </si>
  <si>
    <t>3011</t>
  </si>
  <si>
    <t>Construcción de barcos y de estructuras flotantes.</t>
  </si>
  <si>
    <t>3012</t>
  </si>
  <si>
    <t>Construcción de embarcaciones de recreo y deporte.</t>
  </si>
  <si>
    <t>3020</t>
  </si>
  <si>
    <t>Fabricación de locomotoras y de material rodante para ferrocarriles.</t>
  </si>
  <si>
    <t>3030</t>
  </si>
  <si>
    <t>Fabricación de aeronaves, naves espaciales y de maquinaria conexa.</t>
  </si>
  <si>
    <t>3040</t>
  </si>
  <si>
    <t>Fabricación de vehículos militares de combate.</t>
  </si>
  <si>
    <t>3091</t>
  </si>
  <si>
    <t>Fabricación de motocicletas.</t>
  </si>
  <si>
    <t>3092</t>
  </si>
  <si>
    <t>Fabricación de bicicletas y de sillas de ruedas para personas con discapaci</t>
  </si>
  <si>
    <t>3099</t>
  </si>
  <si>
    <t>Fabricación de otros tipos de equipo de transporte n.c.p.</t>
  </si>
  <si>
    <t>3110</t>
  </si>
  <si>
    <t>Fabricación de muebles.</t>
  </si>
  <si>
    <t>3120</t>
  </si>
  <si>
    <t>Fabricación de colchones y somieres.</t>
  </si>
  <si>
    <t>3210</t>
  </si>
  <si>
    <t>Fabricación de joyas, bisutería y artículos conexos.</t>
  </si>
  <si>
    <t>3220</t>
  </si>
  <si>
    <t>Fabricación de instrumentos musicales.</t>
  </si>
  <si>
    <t>3230</t>
  </si>
  <si>
    <t>Fabricación de artículos y equipo para la práctica del deporte.</t>
  </si>
  <si>
    <t>3240</t>
  </si>
  <si>
    <t>Fabricación de juegos, juguetes y rompecabezas.</t>
  </si>
  <si>
    <t>3250</t>
  </si>
  <si>
    <t>Fabricación de instrumentos, aparatos y materiales médicos y odontológicos</t>
  </si>
  <si>
    <t>3290</t>
  </si>
  <si>
    <t>Otras industrias manufactureras n.c.p.</t>
  </si>
  <si>
    <t>3311</t>
  </si>
  <si>
    <t>Mantenimiento y reparación especializado de productos elaborados en metal.</t>
  </si>
  <si>
    <t>3312</t>
  </si>
  <si>
    <t>Mantenimiento y reparación especializado de maquinaria y equipo.</t>
  </si>
  <si>
    <t>3313</t>
  </si>
  <si>
    <t>Mantenimiento y reparación especializado de equipo electrónico y óptico.</t>
  </si>
  <si>
    <t>3314</t>
  </si>
  <si>
    <t>Mantenimiento y reparación especializado de equipo eléctrico.</t>
  </si>
  <si>
    <t>3315</t>
  </si>
  <si>
    <t>Mantenimiento y reparación especializado de equipo de transporte, excepto l</t>
  </si>
  <si>
    <t>3319</t>
  </si>
  <si>
    <t>Mantenimiento y reparación de otros tipos de equipos y sus componentes n.c.</t>
  </si>
  <si>
    <t>3320</t>
  </si>
  <si>
    <t>Instalación especializada de maquinaria y equipo industrial.</t>
  </si>
  <si>
    <t>3511</t>
  </si>
  <si>
    <t>Generación de energía eléctrica.</t>
  </si>
  <si>
    <t>3512</t>
  </si>
  <si>
    <t>Transmisión de energía eléctrica.</t>
  </si>
  <si>
    <t>3513</t>
  </si>
  <si>
    <t>Distribución de energía eléctrica.</t>
  </si>
  <si>
    <t>3514</t>
  </si>
  <si>
    <t>Comercialización de energía eléctrica.</t>
  </si>
  <si>
    <t>3520</t>
  </si>
  <si>
    <t>Producción de gas; distribución de combustibles gaseosos por tuberías.</t>
  </si>
  <si>
    <t>3530</t>
  </si>
  <si>
    <t>Suministro de vapor y aire acondicionado.</t>
  </si>
  <si>
    <t>3600</t>
  </si>
  <si>
    <t>Captación, tratamiento y distribución de agua.</t>
  </si>
  <si>
    <t>3700</t>
  </si>
  <si>
    <t>Evacuación y tratamiento de aguas residuales.</t>
  </si>
  <si>
    <t>3811</t>
  </si>
  <si>
    <t>Recolección de desechos no peligrosos.</t>
  </si>
  <si>
    <t>3812</t>
  </si>
  <si>
    <t>Recolección de desechos peligrosos.</t>
  </si>
  <si>
    <t>3821</t>
  </si>
  <si>
    <t>Tratamiento y disposición de desechos no peligrosos.</t>
  </si>
  <si>
    <t>3822</t>
  </si>
  <si>
    <t>Tratamiento y disposición de desechos peligrosos.</t>
  </si>
  <si>
    <t>3830</t>
  </si>
  <si>
    <t>Recuperación de materiales.</t>
  </si>
  <si>
    <t>3900</t>
  </si>
  <si>
    <t>Actividades de saneamiento ambiental y otros servicios de gestión de desech</t>
  </si>
  <si>
    <t>4111</t>
  </si>
  <si>
    <t>Construcción de edificios residenciales.</t>
  </si>
  <si>
    <t>4112</t>
  </si>
  <si>
    <t>Construcción de edificios no residenciales.</t>
  </si>
  <si>
    <t>4210</t>
  </si>
  <si>
    <t>Construcción de carreteras y vías de ferrocarril.</t>
  </si>
  <si>
    <t>4220</t>
  </si>
  <si>
    <t>Construcción de proyectos de servicio público.</t>
  </si>
  <si>
    <t>4290</t>
  </si>
  <si>
    <t>Construcción de otras obras de ingeniería civil.</t>
  </si>
  <si>
    <t>4311</t>
  </si>
  <si>
    <t>Demolición.</t>
  </si>
  <si>
    <t>4312</t>
  </si>
  <si>
    <t>Preparación del terreno.</t>
  </si>
  <si>
    <t>4321</t>
  </si>
  <si>
    <t>Instalaciones eléctricas.</t>
  </si>
  <si>
    <t>4322</t>
  </si>
  <si>
    <t>Instalaciones de fontanería, calefacción y aire acondicionado.</t>
  </si>
  <si>
    <t>4329</t>
  </si>
  <si>
    <t>Otras instalaciones especializadas.</t>
  </si>
  <si>
    <t>4330</t>
  </si>
  <si>
    <t>Terminación y acabado de edificios y obras de ingeniería civil.</t>
  </si>
  <si>
    <t>4390</t>
  </si>
  <si>
    <t>Otras actividades especializadas para la construcción de edificios y obras</t>
  </si>
  <si>
    <t>4511</t>
  </si>
  <si>
    <t>Comercio de vehículos automotores nuevos.</t>
  </si>
  <si>
    <t>4512</t>
  </si>
  <si>
    <t>Comercio de vehículos automotores usados.</t>
  </si>
  <si>
    <t>4520</t>
  </si>
  <si>
    <t>Mantenimiento y reparación de vehículos automotores.</t>
  </si>
  <si>
    <t>4530</t>
  </si>
  <si>
    <t>Comercio de partes, piezas (autopartes) y accesorios (lujos) para vehículos</t>
  </si>
  <si>
    <t>4541</t>
  </si>
  <si>
    <t>Comercio de motocicletas y de sus partes, piezas y accesorios.</t>
  </si>
  <si>
    <t>4542</t>
  </si>
  <si>
    <t>Mantenimiento y reparación de motocicletas y de sus partes y piezas.</t>
  </si>
  <si>
    <t>4610</t>
  </si>
  <si>
    <t>Comercio al por mayor a cambio de una retribución o por contrata.</t>
  </si>
  <si>
    <t>4620</t>
  </si>
  <si>
    <t>Comercio al por mayor de materias primas agropecuarias; animales vivos.</t>
  </si>
  <si>
    <t>4631</t>
  </si>
  <si>
    <t>Comercio al por mayor de productos alimenticios.</t>
  </si>
  <si>
    <t>4632</t>
  </si>
  <si>
    <t>Comercio al por mayor de bebidas y tabaco.</t>
  </si>
  <si>
    <t>4641</t>
  </si>
  <si>
    <t>Comercio al por mayor de productos textiles, productos confeccionados para</t>
  </si>
  <si>
    <t>4642</t>
  </si>
  <si>
    <t>Comercio al por mayor de prendas de vestir.</t>
  </si>
  <si>
    <t>4643</t>
  </si>
  <si>
    <t>Comercio al por mayor de calzado.</t>
  </si>
  <si>
    <t>4644</t>
  </si>
  <si>
    <t>Comercio al por mayor de aparatos y equipo de uso doméstico.</t>
  </si>
  <si>
    <t>4645</t>
  </si>
  <si>
    <t>Comercio al por mayor de productos farmacéuticos, medicinales, cosméticos y</t>
  </si>
  <si>
    <t>4649</t>
  </si>
  <si>
    <t>Comercio al por mayor de otros utensilios domésticos n.c.p.</t>
  </si>
  <si>
    <t>4651</t>
  </si>
  <si>
    <t>Comercio al por mayor de computadores, equipo periférico y programas de inf</t>
  </si>
  <si>
    <t>4652</t>
  </si>
  <si>
    <t>Comercio al por mayor de equipo, partes y piezas electrónicos y de telecomu</t>
  </si>
  <si>
    <t>4653</t>
  </si>
  <si>
    <t>Comercio al por mayor de maquinaria y equipo agropecuarios.</t>
  </si>
  <si>
    <t>4659</t>
  </si>
  <si>
    <t>Comercio al por mayor de otros tipos de maquinaria y equipo n.c.p.</t>
  </si>
  <si>
    <t>4661</t>
  </si>
  <si>
    <t>Comercio al por mayor de combustibles sólidos, líquidos, gaseosos y product</t>
  </si>
  <si>
    <t>4662</t>
  </si>
  <si>
    <t>Comercio al por mayor de metales y productos metalíferos.</t>
  </si>
  <si>
    <t>4663</t>
  </si>
  <si>
    <t>Comercio al por mayor de materiales de construcción, artículos de ferreterí</t>
  </si>
  <si>
    <t>4664</t>
  </si>
  <si>
    <t>Comercio al por mayor de productos químicos básicos, cauchos y plásticos en</t>
  </si>
  <si>
    <t>4665</t>
  </si>
  <si>
    <t>Comercio al por mayor de desperdicios, desechos y chatarra.</t>
  </si>
  <si>
    <t>4669</t>
  </si>
  <si>
    <t>Comercio al por mayor de otros productos n.c.p.</t>
  </si>
  <si>
    <t>4690</t>
  </si>
  <si>
    <t>Comercio al por mayor no especializado.</t>
  </si>
  <si>
    <t>4711</t>
  </si>
  <si>
    <t>Comercio al por menor en establecimientos no especializados con surtido com</t>
  </si>
  <si>
    <t>4719</t>
  </si>
  <si>
    <t>Comercio al por menor en establecimientos no especializados, con surtido co</t>
  </si>
  <si>
    <t>4721</t>
  </si>
  <si>
    <t>Comercio al por menor de productos agrícolas para el consumo en establecimi</t>
  </si>
  <si>
    <t>4722</t>
  </si>
  <si>
    <t>Comercio al por menor de leche, productos lácteos y huevos, en establecimie</t>
  </si>
  <si>
    <t>4723</t>
  </si>
  <si>
    <t>Comercio al por menor de carnes (incluye aves de corral), productos cárnico</t>
  </si>
  <si>
    <t>4724</t>
  </si>
  <si>
    <t>Comercio al por menor de bebidas y productos del tabaco, en establecimiento</t>
  </si>
  <si>
    <t>4729</t>
  </si>
  <si>
    <t>Comercio al por menor de otros productos alimenticios n.c.p., en establecim</t>
  </si>
  <si>
    <t>4731</t>
  </si>
  <si>
    <t>Comercio al por menor de combustible para automotores.</t>
  </si>
  <si>
    <t>4732</t>
  </si>
  <si>
    <t>Comercio al por menor de lubricantes (aceites, grasas), aditivos y producto</t>
  </si>
  <si>
    <t>4741</t>
  </si>
  <si>
    <t>Comercio al por menor de computadores, equipos periféricos, programas de in</t>
  </si>
  <si>
    <t>4742</t>
  </si>
  <si>
    <t>Comercio al por menor de equipos y aparatos de sonido y de video, en establ</t>
  </si>
  <si>
    <t>4751</t>
  </si>
  <si>
    <t>Comercio al por menor de productos textiles en establecimientos especializa</t>
  </si>
  <si>
    <t>4752</t>
  </si>
  <si>
    <t>Comercio al por menor de artículos de ferretería, pinturas y productos de v</t>
  </si>
  <si>
    <t>4753</t>
  </si>
  <si>
    <t>Comercio al por menor de tapices, alfombras y cubrimientos para paredes y p</t>
  </si>
  <si>
    <t>4754</t>
  </si>
  <si>
    <t>Comercio al por menor de electrodomésticos y gasodomésticos de uso doméstic</t>
  </si>
  <si>
    <t>4755</t>
  </si>
  <si>
    <t>Comercio al por menor de artículos y utensilios de uso doméstico.</t>
  </si>
  <si>
    <t>4759</t>
  </si>
  <si>
    <t>Comercio al por menor de otros artículos domésticos en establecimientos esp</t>
  </si>
  <si>
    <t>4761</t>
  </si>
  <si>
    <t>Comercio al por menor de libros, periódicos, materiales y artículos de pape</t>
  </si>
  <si>
    <t>4762</t>
  </si>
  <si>
    <t>Comercio al por menor de artículos deportivos, en establecimientos especial</t>
  </si>
  <si>
    <t>4769</t>
  </si>
  <si>
    <t>Comercio al por menor de otros artículos culturales y de entretenimiento n.</t>
  </si>
  <si>
    <t>4771</t>
  </si>
  <si>
    <t>Comercio al por menor de prendas de vestir y sus accesorios (incluye artícu</t>
  </si>
  <si>
    <t>4772</t>
  </si>
  <si>
    <t>Comercio al por menor de todo tipo de calzado y artículos de cuero y sucedá</t>
  </si>
  <si>
    <t>4773</t>
  </si>
  <si>
    <t>Comercio al por menor de productos farmacéuticos y medicinales, cosméticos</t>
  </si>
  <si>
    <t>4774</t>
  </si>
  <si>
    <t>Comercio al por menor de otros productos nuevos en establecimientos especia</t>
  </si>
  <si>
    <t>4775</t>
  </si>
  <si>
    <t>Comercio al por menor de artículos de segunda mano.</t>
  </si>
  <si>
    <t>4781</t>
  </si>
  <si>
    <t>Comercio al por menor de alimentos, bebidas y tabaco, en puestos de venta m</t>
  </si>
  <si>
    <t>4782</t>
  </si>
  <si>
    <t>Comercio al por menor de productos textiles, prendas de vestir y calzado, e</t>
  </si>
  <si>
    <t>4789</t>
  </si>
  <si>
    <t>Comercio al por menor de otros productos en puestos de venta móviles.</t>
  </si>
  <si>
    <t>4791</t>
  </si>
  <si>
    <t>Comercio al por menor realizado a través de internet.</t>
  </si>
  <si>
    <t>4792</t>
  </si>
  <si>
    <t>Comercio al por menor realizado a través de casas de venta o por correo.</t>
  </si>
  <si>
    <t>4799</t>
  </si>
  <si>
    <t>Otros tipos de comercio al por menor no realizado en establecimientos, pues</t>
  </si>
  <si>
    <t>4911</t>
  </si>
  <si>
    <t>Transporte férreo de pasajeros.</t>
  </si>
  <si>
    <t>4912</t>
  </si>
  <si>
    <t>Transporte férreo de carga.</t>
  </si>
  <si>
    <t>4921</t>
  </si>
  <si>
    <t>Transporte de pasajeros.</t>
  </si>
  <si>
    <t>4922</t>
  </si>
  <si>
    <t>Transporte mixto.</t>
  </si>
  <si>
    <t>4923</t>
  </si>
  <si>
    <t>Transporte de carga por carretera.</t>
  </si>
  <si>
    <t>4930</t>
  </si>
  <si>
    <t>Transporte por tuberías.</t>
  </si>
  <si>
    <t>5011</t>
  </si>
  <si>
    <t>Transporte de pasajeros marítimo y de cabotaje.</t>
  </si>
  <si>
    <t>5012</t>
  </si>
  <si>
    <t>Transporte de carga marítimo y de cabotaje.</t>
  </si>
  <si>
    <t>5021</t>
  </si>
  <si>
    <t>Transporte fluvial de pasajeros.</t>
  </si>
  <si>
    <t>5022</t>
  </si>
  <si>
    <t>Transporte fluvial de carga.</t>
  </si>
  <si>
    <t>5111</t>
  </si>
  <si>
    <t>Transporte aéreo nacional de pasajeros.</t>
  </si>
  <si>
    <t>5112</t>
  </si>
  <si>
    <t>Transporte aéreo internacional de pasajeros.</t>
  </si>
  <si>
    <t>5121</t>
  </si>
  <si>
    <t>Transporte aéreo nacional de carga.</t>
  </si>
  <si>
    <t>5122</t>
  </si>
  <si>
    <t>Transporte aéreo internacional de carga.</t>
  </si>
  <si>
    <t>5210</t>
  </si>
  <si>
    <t>Almacenamiento y depósito.</t>
  </si>
  <si>
    <t>5221</t>
  </si>
  <si>
    <t>Actividades de estaciones, vías y servicios complementarios para el transpo</t>
  </si>
  <si>
    <t>5222</t>
  </si>
  <si>
    <t>Actividades de puertos y servicios complementarios para el transporte acuát</t>
  </si>
  <si>
    <t>5223</t>
  </si>
  <si>
    <t>Actividades de aeropuertos, servicios de navegación aérea y demás actividad</t>
  </si>
  <si>
    <t>5224</t>
  </si>
  <si>
    <t>Manipulación de carga.</t>
  </si>
  <si>
    <t>5229</t>
  </si>
  <si>
    <t>Otras actividades complementarias al transporte.</t>
  </si>
  <si>
    <t>5310</t>
  </si>
  <si>
    <t>Actividades postales nacionales.</t>
  </si>
  <si>
    <t>5320</t>
  </si>
  <si>
    <t>Actividades de mensajería.</t>
  </si>
  <si>
    <t>5511</t>
  </si>
  <si>
    <t>Alojamiento en hoteles.</t>
  </si>
  <si>
    <t>5512</t>
  </si>
  <si>
    <t>Alojamiento en apartahoteles.</t>
  </si>
  <si>
    <t>5513</t>
  </si>
  <si>
    <t>Alojamiento en centros vacacionales.</t>
  </si>
  <si>
    <t>5514</t>
  </si>
  <si>
    <t>Alojamiento rural.</t>
  </si>
  <si>
    <t>5519</t>
  </si>
  <si>
    <t>Otros tipos de alojamientos para visitantes.</t>
  </si>
  <si>
    <t>5520</t>
  </si>
  <si>
    <t>Actividades de zonas de camping y parques para vehículos recreacionales.</t>
  </si>
  <si>
    <t>5530</t>
  </si>
  <si>
    <t>Servicio por horas</t>
  </si>
  <si>
    <t>5590</t>
  </si>
  <si>
    <t>Otros tipos de alojamiento n.c.p.</t>
  </si>
  <si>
    <t>5611</t>
  </si>
  <si>
    <t>Expendio a la mesa de comidas preparadas.</t>
  </si>
  <si>
    <t>5612</t>
  </si>
  <si>
    <t>Expendio por autoservicio de comidas preparadas.</t>
  </si>
  <si>
    <t>5613</t>
  </si>
  <si>
    <t>Expendio de comidas preparadas en cafeterías.</t>
  </si>
  <si>
    <t>5619</t>
  </si>
  <si>
    <t>Otros tipos de expendio de comidas preparadas n.c.p.</t>
  </si>
  <si>
    <t>5621</t>
  </si>
  <si>
    <t>Catering para eventos.</t>
  </si>
  <si>
    <t>5629</t>
  </si>
  <si>
    <t>Actividades de otros servicios de comidas.</t>
  </si>
  <si>
    <t>5630</t>
  </si>
  <si>
    <t>Expendio de bebidas alcohólicas para el consumo dentro del establecimiento.</t>
  </si>
  <si>
    <t>5811</t>
  </si>
  <si>
    <t>Edición de libros.</t>
  </si>
  <si>
    <t>5812</t>
  </si>
  <si>
    <t>Edición de directorios y listas de correo.</t>
  </si>
  <si>
    <t>5813</t>
  </si>
  <si>
    <t>Edición de periódicos, revistas y otras publicaciones periódicas.</t>
  </si>
  <si>
    <t>5819</t>
  </si>
  <si>
    <t>Otros trabajos de edición.</t>
  </si>
  <si>
    <t>5820</t>
  </si>
  <si>
    <t>Edición de programas de informática (software).</t>
  </si>
  <si>
    <t>5911</t>
  </si>
  <si>
    <t>Actividades de producción de películas cinematográficas, videos, programas,</t>
  </si>
  <si>
    <t>5912</t>
  </si>
  <si>
    <t>Actividades de posproducción de películas cinematográficas, videos, program</t>
  </si>
  <si>
    <t>5913</t>
  </si>
  <si>
    <t>Actividades de distribución de películas cinematográficas, videos, programa</t>
  </si>
  <si>
    <t>5914</t>
  </si>
  <si>
    <t>Actividades de exhibición de películas cinematográficas y videos.</t>
  </si>
  <si>
    <t>5920</t>
  </si>
  <si>
    <t>Actividades de grabación de sonido y edición de música.</t>
  </si>
  <si>
    <t>6010</t>
  </si>
  <si>
    <t>Actividades de programación y transmisión en el servicio de radiodifusión s</t>
  </si>
  <si>
    <t>6020</t>
  </si>
  <si>
    <t>Actividades de programación y transmisión de televisión.</t>
  </si>
  <si>
    <t>6110</t>
  </si>
  <si>
    <t>Actividades de telecomunicaciones alámbricas.</t>
  </si>
  <si>
    <t>6120</t>
  </si>
  <si>
    <t>Actividades de telecomunicaciones inalámbricas.</t>
  </si>
  <si>
    <t>6130</t>
  </si>
  <si>
    <t>Actividades de telecomunicación satelital.</t>
  </si>
  <si>
    <t>6190</t>
  </si>
  <si>
    <t>Otras actividades de telecomunicaciones.</t>
  </si>
  <si>
    <t>6201</t>
  </si>
  <si>
    <t>Actividades de desarrollo de sistemas informáticos (planificación, análisis</t>
  </si>
  <si>
    <t>6202</t>
  </si>
  <si>
    <t>Actividades de consultoría informática y actividades de administración de i</t>
  </si>
  <si>
    <t>6209</t>
  </si>
  <si>
    <t>Otras actividades de tecnologías de información y actividades de servicios</t>
  </si>
  <si>
    <t>6311</t>
  </si>
  <si>
    <t>Procesamiento de datos, alojamiento (hosting) y actividades relacionadas.</t>
  </si>
  <si>
    <t>6312</t>
  </si>
  <si>
    <t>Portales web.</t>
  </si>
  <si>
    <t>6391</t>
  </si>
  <si>
    <t>Actividades de agencias de noticias.</t>
  </si>
  <si>
    <t>6399</t>
  </si>
  <si>
    <t>Otras actividades de servicio de información n.c.p.</t>
  </si>
  <si>
    <t>6411</t>
  </si>
  <si>
    <t>Banco Central.</t>
  </si>
  <si>
    <t>6412</t>
  </si>
  <si>
    <t>Bancos comerciales.</t>
  </si>
  <si>
    <t>6421</t>
  </si>
  <si>
    <t>Actividades de las corporaciones financieras.</t>
  </si>
  <si>
    <t>6422</t>
  </si>
  <si>
    <t>Actividades de las compañías de financiamiento.</t>
  </si>
  <si>
    <t>6423</t>
  </si>
  <si>
    <t>Banca de segundo piso.</t>
  </si>
  <si>
    <t>6424</t>
  </si>
  <si>
    <t>Actividades de las cooperativas financieras.</t>
  </si>
  <si>
    <t>6431</t>
  </si>
  <si>
    <t>Fideicomisos, fondos y entidades financieras similares.</t>
  </si>
  <si>
    <t>6432</t>
  </si>
  <si>
    <t>Fondos de cesantías.</t>
  </si>
  <si>
    <t>6491</t>
  </si>
  <si>
    <t>Leasing financiero (arrendamiento financiero).</t>
  </si>
  <si>
    <t>6492</t>
  </si>
  <si>
    <t>Actividades financieras de fondos de empleados y otras formas asociativas d</t>
  </si>
  <si>
    <t>6493</t>
  </si>
  <si>
    <t>Actividades de compra de cartera o factoring.</t>
  </si>
  <si>
    <t>6494</t>
  </si>
  <si>
    <t>Otras actividades de distribución de fondos.</t>
  </si>
  <si>
    <t>6495</t>
  </si>
  <si>
    <t>Instituciones especiales oficiales.</t>
  </si>
  <si>
    <t>6499</t>
  </si>
  <si>
    <t>Otras actividades de servicio financiero, excepto las de seguros y pensione</t>
  </si>
  <si>
    <t>6511</t>
  </si>
  <si>
    <t>Seguros generales.</t>
  </si>
  <si>
    <t>6512</t>
  </si>
  <si>
    <t>Seguros de vida.</t>
  </si>
  <si>
    <t>6513</t>
  </si>
  <si>
    <t>Reaseguros.</t>
  </si>
  <si>
    <t>6514</t>
  </si>
  <si>
    <t>Capitalización.</t>
  </si>
  <si>
    <t>6521</t>
  </si>
  <si>
    <t>Servicios de seguros sociales de salud.</t>
  </si>
  <si>
    <t>6522</t>
  </si>
  <si>
    <t>Servicios de seguros sociales de riesgos profesionales.</t>
  </si>
  <si>
    <t>6531</t>
  </si>
  <si>
    <t>Régimen de prima media con prestación definida (RPM).</t>
  </si>
  <si>
    <t>6532</t>
  </si>
  <si>
    <t>Régimen de ahorro individual (RAI).</t>
  </si>
  <si>
    <t>6611</t>
  </si>
  <si>
    <t>Administración de mercados financieros.</t>
  </si>
  <si>
    <t>6612</t>
  </si>
  <si>
    <t>Corretaje de valores y de contratos de productos básicos.</t>
  </si>
  <si>
    <t>6613</t>
  </si>
  <si>
    <t>Otras actividades relacionadas con el mercado de valores.</t>
  </si>
  <si>
    <t>6614</t>
  </si>
  <si>
    <t>Actividades de las casas de cambio.</t>
  </si>
  <si>
    <t>6615</t>
  </si>
  <si>
    <t>Actividades de los profesionales de compra y venta de divisas.</t>
  </si>
  <si>
    <t>6619</t>
  </si>
  <si>
    <t>Otras actividades auxiliares de las actividades de servicios financieros n.</t>
  </si>
  <si>
    <t>6621</t>
  </si>
  <si>
    <t>Actividades de agentes y corredores de seguros</t>
  </si>
  <si>
    <t>6629</t>
  </si>
  <si>
    <t>Evaluación de riesgos y daños, y otras actividades de servicios auxiliares</t>
  </si>
  <si>
    <t>6630</t>
  </si>
  <si>
    <t>Actividades de administración de fondos.</t>
  </si>
  <si>
    <t>6810</t>
  </si>
  <si>
    <t>Actividades inmobiliarias realizadas con bienes propios o arrendados.</t>
  </si>
  <si>
    <t>6820</t>
  </si>
  <si>
    <t>Actividades inmobiliarias realizadas a cambio de una retribución o por cont</t>
  </si>
  <si>
    <t>6910</t>
  </si>
  <si>
    <t>Actividades jurídicas.</t>
  </si>
  <si>
    <t>6920</t>
  </si>
  <si>
    <t>Actividades de contabilidad, teneduría de libros, auditoría financiera y as</t>
  </si>
  <si>
    <t>7010</t>
  </si>
  <si>
    <t>Actividades de administración empresarial.</t>
  </si>
  <si>
    <t>7020</t>
  </si>
  <si>
    <t>Actividades de consultaría de gestión.</t>
  </si>
  <si>
    <t>7110</t>
  </si>
  <si>
    <t>Actividades de arquitectura e ingeniería y otras actividades conexas de con</t>
  </si>
  <si>
    <t>7120</t>
  </si>
  <si>
    <t>Ensayos y análisis técnicos.</t>
  </si>
  <si>
    <t>7210</t>
  </si>
  <si>
    <t>Investigaciones y desarrollo experimental en el campo de las ciencias natur</t>
  </si>
  <si>
    <t>7220</t>
  </si>
  <si>
    <t>Investigaciones y desarrollo experimental en el campo de las ciencias socia</t>
  </si>
  <si>
    <t>7310</t>
  </si>
  <si>
    <t>Publicidad.</t>
  </si>
  <si>
    <t>7320</t>
  </si>
  <si>
    <t>Estudios de mercado y realización de encuestas de opinión pública.</t>
  </si>
  <si>
    <t>7410</t>
  </si>
  <si>
    <t>Actividades especializadas de diseño.</t>
  </si>
  <si>
    <t>7420</t>
  </si>
  <si>
    <t>Actividades de fotografía.</t>
  </si>
  <si>
    <t>7490</t>
  </si>
  <si>
    <t>Otras actividades profesionales, científicas y técnicas n.c.p.</t>
  </si>
  <si>
    <t>7500</t>
  </si>
  <si>
    <t>Actividades veterinarias.</t>
  </si>
  <si>
    <t>7710</t>
  </si>
  <si>
    <t>Alquiler y arrendamiento de vehículos automotores.</t>
  </si>
  <si>
    <t>7721</t>
  </si>
  <si>
    <t>Alquiler y arrendamiento de equipo recreativo y deportivo.</t>
  </si>
  <si>
    <t>7722</t>
  </si>
  <si>
    <t>Alquiler de videos y discos.</t>
  </si>
  <si>
    <t>7729</t>
  </si>
  <si>
    <t>Alquiler y arrendamiento de otros efectos personales y enseres domésticos n</t>
  </si>
  <si>
    <t>7730</t>
  </si>
  <si>
    <t>Alquiler y arrendamiento de otros tipos de maquinaria, equipo y bienes tang</t>
  </si>
  <si>
    <t>7740</t>
  </si>
  <si>
    <t>Arrendamiento de propiedad intelectual y productos similares, excepto obras</t>
  </si>
  <si>
    <t>7810</t>
  </si>
  <si>
    <t>Actividades de agencias de empleo.</t>
  </si>
  <si>
    <t>7820</t>
  </si>
  <si>
    <t>Actividades de agencias de empleo temporal.</t>
  </si>
  <si>
    <t>7830</t>
  </si>
  <si>
    <t>Otras actividades de suministro de recurso humano.</t>
  </si>
  <si>
    <t>7911</t>
  </si>
  <si>
    <t>Actividades de las agencias de viaje.</t>
  </si>
  <si>
    <t>7912</t>
  </si>
  <si>
    <t>Actividades de operadores turísticos.</t>
  </si>
  <si>
    <t>7990</t>
  </si>
  <si>
    <t>Otros servicios de reserva y actividades relacionadas.</t>
  </si>
  <si>
    <t>8010</t>
  </si>
  <si>
    <t>Actividades de seguridad privada.</t>
  </si>
  <si>
    <t>8020</t>
  </si>
  <si>
    <t>Actividades de servicios de sistemas de seguridad.</t>
  </si>
  <si>
    <t>8030</t>
  </si>
  <si>
    <t>Actividades de detectives e investigadores privados.</t>
  </si>
  <si>
    <t>8110</t>
  </si>
  <si>
    <t>Actividades combinadas de apoyo a instalaciones.</t>
  </si>
  <si>
    <t>8121</t>
  </si>
  <si>
    <t>Limpieza general interior de edificios.</t>
  </si>
  <si>
    <t>8129</t>
  </si>
  <si>
    <t>Otras actividades de limpieza de edificios e instalaciones industriales.</t>
  </si>
  <si>
    <t>8130</t>
  </si>
  <si>
    <t>Actividades de paisajismo y servicios de mantenimiento conexos.</t>
  </si>
  <si>
    <t>8211</t>
  </si>
  <si>
    <t>Actividades combinadas de servicios administrativos de oficina</t>
  </si>
  <si>
    <t>8219</t>
  </si>
  <si>
    <t>Fotocopiado, preparación de documentos y otras actividades especializadas d</t>
  </si>
  <si>
    <t>8220</t>
  </si>
  <si>
    <t>Actividades de centros de llamadas (Call center).</t>
  </si>
  <si>
    <t>8230</t>
  </si>
  <si>
    <t>Organización de convenciones y eventos comerciales.</t>
  </si>
  <si>
    <t>8291</t>
  </si>
  <si>
    <t>Actividades de agencias de cobranza y oficinas de calificación crediticia.</t>
  </si>
  <si>
    <t>8292</t>
  </si>
  <si>
    <t>Actividades de envase y empaque.</t>
  </si>
  <si>
    <t>8299</t>
  </si>
  <si>
    <t>Otras actividades de servicio de apoyo a las empresas n.c.p.</t>
  </si>
  <si>
    <t>8411</t>
  </si>
  <si>
    <t>Actividades legislativas de la administración pública.</t>
  </si>
  <si>
    <t>8412</t>
  </si>
  <si>
    <t>Actividades ejecutivas de la administración pública.</t>
  </si>
  <si>
    <t>8413</t>
  </si>
  <si>
    <t>Regulación de las actividades de organismos que prestan servicios de salud,</t>
  </si>
  <si>
    <t>8414</t>
  </si>
  <si>
    <t>Actividades reguladoras y facilitadoras de la actividad económica.</t>
  </si>
  <si>
    <t>8415</t>
  </si>
  <si>
    <t>Actividades de los otros órganos de control.</t>
  </si>
  <si>
    <t>8421</t>
  </si>
  <si>
    <t>Relaciones exteriores.</t>
  </si>
  <si>
    <t>8422</t>
  </si>
  <si>
    <t>Actividades de defensa.</t>
  </si>
  <si>
    <t>8423</t>
  </si>
  <si>
    <t>Orden público y actividades de seguridad.</t>
  </si>
  <si>
    <t>8424</t>
  </si>
  <si>
    <t>Administración de justicia.</t>
  </si>
  <si>
    <t>8430</t>
  </si>
  <si>
    <t>Actividades de planes de seguridad social de afiliación obligatoria.</t>
  </si>
  <si>
    <t>8511</t>
  </si>
  <si>
    <t>Educación de la primera infancia.</t>
  </si>
  <si>
    <t>8512</t>
  </si>
  <si>
    <t>Educación preescolar.</t>
  </si>
  <si>
    <t>8513</t>
  </si>
  <si>
    <t>Educación básica primaria.</t>
  </si>
  <si>
    <t>8521</t>
  </si>
  <si>
    <t>Educación básica secundaria.</t>
  </si>
  <si>
    <t>8522</t>
  </si>
  <si>
    <t>Educación media académica.</t>
  </si>
  <si>
    <t>8523</t>
  </si>
  <si>
    <t>Educación media técnica y de formación laboral.</t>
  </si>
  <si>
    <t>8530</t>
  </si>
  <si>
    <t>Establecimientos que combinan diferentes niveles de educación.</t>
  </si>
  <si>
    <t>8541</t>
  </si>
  <si>
    <t>Educación técnica profesional.</t>
  </si>
  <si>
    <t>8542</t>
  </si>
  <si>
    <t>Educación tecnológica.</t>
  </si>
  <si>
    <t>8543</t>
  </si>
  <si>
    <t>Educación de instituciones universitarias o de escuelas tecnológicas.</t>
  </si>
  <si>
    <t>8544</t>
  </si>
  <si>
    <t>Educación de universidades.</t>
  </si>
  <si>
    <t>8551</t>
  </si>
  <si>
    <t>Formación académica no formal.</t>
  </si>
  <si>
    <t>8552</t>
  </si>
  <si>
    <t>Enseñanza deportiva y recreativa.</t>
  </si>
  <si>
    <t>8553</t>
  </si>
  <si>
    <t>Enseñanza cultural.</t>
  </si>
  <si>
    <t>8559</t>
  </si>
  <si>
    <t>Otros tipos de educación n.c.p.</t>
  </si>
  <si>
    <t>8560</t>
  </si>
  <si>
    <t>Actividades de apoyo a la educación.</t>
  </si>
  <si>
    <t>8610</t>
  </si>
  <si>
    <t>Actividades de hospitales y clínicas, con internación.</t>
  </si>
  <si>
    <t>8621</t>
  </si>
  <si>
    <t>Actividades de la práctica médica, sin internación.</t>
  </si>
  <si>
    <t>8622</t>
  </si>
  <si>
    <t>Actividades de la práctica odontológica.</t>
  </si>
  <si>
    <t>8691</t>
  </si>
  <si>
    <t>Actividades de apoyo diagnóstico.</t>
  </si>
  <si>
    <t>8692</t>
  </si>
  <si>
    <t>Actividades de apoyo terapéutico.</t>
  </si>
  <si>
    <t>8699</t>
  </si>
  <si>
    <t>Otras actividades de atención de la salud humana.</t>
  </si>
  <si>
    <t>8710</t>
  </si>
  <si>
    <t>Actividades de atención residencial medicalizada de tipo general.</t>
  </si>
  <si>
    <t>8720</t>
  </si>
  <si>
    <t>Actividades de atención residencial, para el cuidado de pacientes con retar</t>
  </si>
  <si>
    <t>8730</t>
  </si>
  <si>
    <t>Actividades de atención en instituciones para el cuidado de personas mayore</t>
  </si>
  <si>
    <t>8790</t>
  </si>
  <si>
    <t>Otras actividades de atención en instituciones con alojamiento</t>
  </si>
  <si>
    <t>8810</t>
  </si>
  <si>
    <t>Actividades de asistencia social sin alojamiento para personas mayores y y</t>
  </si>
  <si>
    <t>8890</t>
  </si>
  <si>
    <t>Otras actividades de asistencia social sin alojamiento.</t>
  </si>
  <si>
    <t>9001</t>
  </si>
  <si>
    <t>Creación literaria.</t>
  </si>
  <si>
    <t>9002</t>
  </si>
  <si>
    <t>Creación musical.</t>
  </si>
  <si>
    <t>9003</t>
  </si>
  <si>
    <t>Creación teatral.</t>
  </si>
  <si>
    <t>9004</t>
  </si>
  <si>
    <t>Creación audiovisual.</t>
  </si>
  <si>
    <t>9005</t>
  </si>
  <si>
    <t>Artes plásticas y visuales.</t>
  </si>
  <si>
    <t>9006</t>
  </si>
  <si>
    <t>Actividades teatrales.</t>
  </si>
  <si>
    <t>9007</t>
  </si>
  <si>
    <t>Actividades de espectáculos musicales en vivo.</t>
  </si>
  <si>
    <t>9008</t>
  </si>
  <si>
    <t>Otras actividades de espectáculos en vivo.</t>
  </si>
  <si>
    <t>9101</t>
  </si>
  <si>
    <t>Actividades de bibliotecas y archivos.</t>
  </si>
  <si>
    <t>9102</t>
  </si>
  <si>
    <t>Actividades y funcionamiento de museos, conservación de edificios y sitios</t>
  </si>
  <si>
    <t>9103</t>
  </si>
  <si>
    <t>Actividades de jardines botánicos, zoológicos y reservas naturales.</t>
  </si>
  <si>
    <t>9311</t>
  </si>
  <si>
    <t>Gestión de instalaciones deportivas.</t>
  </si>
  <si>
    <t>9312</t>
  </si>
  <si>
    <t>Actividades de clubes deportivos.</t>
  </si>
  <si>
    <t>9319</t>
  </si>
  <si>
    <t>Otras actividades deportivas.</t>
  </si>
  <si>
    <t>9321</t>
  </si>
  <si>
    <t>Actividades de parques de atracciones y parques temáticos.</t>
  </si>
  <si>
    <t>9329</t>
  </si>
  <si>
    <t>Otras actividades recreativas y de esparcimiento n.c.p.</t>
  </si>
  <si>
    <t>9411</t>
  </si>
  <si>
    <t>Actividades de asociaciones empresariales y de empleadores</t>
  </si>
  <si>
    <t>9412</t>
  </si>
  <si>
    <t>Actividades de asociaciones profesionales</t>
  </si>
  <si>
    <t>9420</t>
  </si>
  <si>
    <t>Actividades de sindicatos de empleados.</t>
  </si>
  <si>
    <t>9491</t>
  </si>
  <si>
    <t>Actividades de asociaciones religiosas.</t>
  </si>
  <si>
    <t>9492</t>
  </si>
  <si>
    <t>Actividades de asociaciones políticas.</t>
  </si>
  <si>
    <t>9499</t>
  </si>
  <si>
    <t>Actividades de otras asociaciones n.c.p.</t>
  </si>
  <si>
    <t>9511</t>
  </si>
  <si>
    <t>Mantenimiento y reparación de computadores y de equipo periférico.</t>
  </si>
  <si>
    <t>9512</t>
  </si>
  <si>
    <t>Mantenimiento y reparación de equipos de comunicación.</t>
  </si>
  <si>
    <t>9521</t>
  </si>
  <si>
    <t>Mantenimiento y reparación de aparatos electrónicos de consumo.</t>
  </si>
  <si>
    <t>9522</t>
  </si>
  <si>
    <t>Mantenimiento y reparación de aparatos y equipos domésticos y de jardinería</t>
  </si>
  <si>
    <t>9523</t>
  </si>
  <si>
    <t>Reparación de calzado y artículos de cuero.</t>
  </si>
  <si>
    <t>9524</t>
  </si>
  <si>
    <t>Reparación de muebles y accesorios para el hogar.</t>
  </si>
  <si>
    <t>9529</t>
  </si>
  <si>
    <t>Mantenimiento y reparación de otros efectos personales y enseres domésticos</t>
  </si>
  <si>
    <t>9601</t>
  </si>
  <si>
    <t>Lavado y limpieza, incluso la limpieza en seco, de productos textiles y de</t>
  </si>
  <si>
    <t>9602</t>
  </si>
  <si>
    <t>Peluquería y otros tratamientos de belleza.</t>
  </si>
  <si>
    <t>9603</t>
  </si>
  <si>
    <t>Pompas fúnebres y actividades relacionadas.</t>
  </si>
  <si>
    <t>9609</t>
  </si>
  <si>
    <t>Otras actividades de servicios personales n.c.p.</t>
  </si>
  <si>
    <t>9700</t>
  </si>
  <si>
    <t>Actividades de los hogares individuales como empleadores de personal domést</t>
  </si>
  <si>
    <t>9810</t>
  </si>
  <si>
    <t>Actividades no diferenciadas de los hogares individuales como productores d</t>
  </si>
  <si>
    <t>9820</t>
  </si>
  <si>
    <t>Actividad</t>
  </si>
  <si>
    <t>Código</t>
  </si>
  <si>
    <t>COMPUTEC OUTSOURCING SAS</t>
  </si>
  <si>
    <t>SISTEMAS Y COMPUTADORES</t>
  </si>
  <si>
    <t>SAIMYR S.A.S.</t>
  </si>
  <si>
    <t>ETHOS SOLUCIONES DE SOFTWARE S.A</t>
  </si>
  <si>
    <t>Q10 SOLUCIONES S.A.S</t>
  </si>
  <si>
    <t>VISUAL SYSTEMS</t>
  </si>
  <si>
    <t>IT TRAVEL CONSULTING SAS</t>
  </si>
  <si>
    <t>DistribuidorHosting</t>
  </si>
  <si>
    <t>c.    Dominios de Cifrado</t>
  </si>
  <si>
    <t>Dominio de Cifrado Comercio</t>
  </si>
  <si>
    <t>Dominio de Cifrado ACH</t>
  </si>
  <si>
    <t xml:space="preserve">Esquema de Cifrado </t>
  </si>
  <si>
    <t xml:space="preserve">Algoritmo de Cifrado </t>
  </si>
  <si>
    <t>Dominios de Cifrado</t>
  </si>
  <si>
    <t>Ser diferente de la IP de PEER.</t>
  </si>
  <si>
    <t>¿El terminador de producción es el mismo para pruebas?</t>
  </si>
  <si>
    <t>Fase 1</t>
  </si>
  <si>
    <t>Fase 2</t>
  </si>
  <si>
    <t>ACH Colombia</t>
  </si>
  <si>
    <r>
      <t xml:space="preserve">Información General para el establecimiento del túnel VPN IPSEC Site to Site
</t>
    </r>
    <r>
      <rPr>
        <sz val="11"/>
        <color indexed="8"/>
        <rFont val="Franklin Gothic Book"/>
        <family val="2"/>
      </rPr>
      <t>IPsec (abreviatura de Internet Protocol security) es un conjunto de protocolos cuya función es asegurar las comunicaciones sobre el Protocolo de Internet (IP) autenticando y/o cifrando cada paquete IP en un flujo de datos. https://es.wikipedia.org/wiki/IPsec</t>
    </r>
    <r>
      <rPr>
        <b/>
        <sz val="11"/>
        <color indexed="8"/>
        <rFont val="Franklin Gothic Book"/>
        <family val="2"/>
      </rPr>
      <t xml:space="preserve">
**Los campos en azul celeste deben ser diligenciados en su totalidad**</t>
    </r>
  </si>
  <si>
    <t>Información de contacto</t>
  </si>
  <si>
    <t xml:space="preserve">¿La infraestructura es en la nube? </t>
  </si>
  <si>
    <t>¿Cuál?</t>
  </si>
  <si>
    <t>ITAU</t>
  </si>
  <si>
    <t>PSE PAGOS CONEXIÓN INTEGRADA DE FACTURAS</t>
  </si>
  <si>
    <t>PSE PAGOS CONEXIÓN EN LÍNEA</t>
  </si>
  <si>
    <t>Productos Propios Banco GNB Sudameris</t>
  </si>
  <si>
    <t>Conjuntos Residenciales e Inmobiliarias</t>
  </si>
  <si>
    <t>Colegios e Instituciones Educativas</t>
  </si>
  <si>
    <t>Asociac., Agremiac., Cooperativas y Fondos de Empleados</t>
  </si>
  <si>
    <t>Otros</t>
  </si>
  <si>
    <t>BANCO_SANTANDER_COLOMBIA</t>
  </si>
  <si>
    <t xml:space="preserve">BANCO_SERFINANZA </t>
  </si>
  <si>
    <t xml:space="preserve">CONFIAR_COOPERATIVA_FINANCIERA </t>
  </si>
  <si>
    <t>SCOTIABANK_COLPATRIA</t>
  </si>
  <si>
    <t xml:space="preserve">Cobro transaccional: </t>
  </si>
  <si>
    <t>Relacione a continuación el valor de configuración de la funcionalidad y el valor de la mensualidad, de acuerdo con el plan escogido por la empresa, Los valores relacionados aplican hasta el 31 de diciembre de 2021:</t>
  </si>
  <si>
    <t xml:space="preserve">Logotipo de la compañía (155X96 pixeles; Tamaño: 11 KB; Formato JPG o GIF fondo transparente)
**En caso de utilizar un logo diferente al de la empresa a vincular, anexar autorización escrita del propietario de la marca comercial. </t>
  </si>
  <si>
    <t>Código CAPTCHA</t>
  </si>
  <si>
    <t>PAGOS DTN</t>
  </si>
  <si>
    <t>Vinculo Plantillas</t>
  </si>
  <si>
    <t>A10</t>
  </si>
  <si>
    <t>A72</t>
  </si>
  <si>
    <t>A102</t>
  </si>
  <si>
    <t>A133</t>
  </si>
  <si>
    <t>PLANTILLAS!A10</t>
  </si>
  <si>
    <t>PLANTILLAS!A72</t>
  </si>
  <si>
    <t>PLANTILLAS!A120</t>
  </si>
  <si>
    <t>PLANTILLAS!A150</t>
  </si>
  <si>
    <t xml:space="preserve">Seleccione el diseño con la cual será configurada su funcionalidad: </t>
  </si>
  <si>
    <t>Se deben relacionar los campos que viajan en el WS, son diferentes a los de BD (Bases de datos).</t>
  </si>
  <si>
    <t>Marca y Versión del Software</t>
  </si>
  <si>
    <t>IKE V2</t>
  </si>
  <si>
    <t>SI PFS GRUPO 20</t>
  </si>
  <si>
    <t>¿Requiere incluir texto de ayuda?</t>
  </si>
  <si>
    <t>Desea agregar campos adicionales?</t>
  </si>
  <si>
    <t>valores1</t>
  </si>
  <si>
    <t>valores2</t>
  </si>
  <si>
    <t>URL de la empresa en Ambiente de Pruebas</t>
  </si>
  <si>
    <t>URL de la empresa en Ambiente de Producción</t>
  </si>
  <si>
    <t>AWS</t>
  </si>
  <si>
    <t>PLANTILLAS!A118</t>
  </si>
  <si>
    <t>A118</t>
  </si>
  <si>
    <t>seleccione</t>
  </si>
  <si>
    <t>Numero de Factura:</t>
  </si>
  <si>
    <t>Realizar un pago</t>
  </si>
  <si>
    <t>a</t>
  </si>
  <si>
    <t>[RECOMENDADO GRUPO 20]</t>
  </si>
  <si>
    <t>[RECOMENDADO SHA-384]</t>
  </si>
  <si>
    <t>[RECOMENDADO SHA-256]</t>
  </si>
  <si>
    <t>Entidad financiera</t>
  </si>
  <si>
    <t>Bancolombia</t>
  </si>
  <si>
    <t>Banco_Confiar</t>
  </si>
  <si>
    <t>Bancoomeva</t>
  </si>
  <si>
    <t>Banco_de_Occidente</t>
  </si>
  <si>
    <t>Banco_de_Bogotá</t>
  </si>
  <si>
    <t>Banco_GNB_Sudameris</t>
  </si>
  <si>
    <t>Banco_Agrario</t>
  </si>
  <si>
    <t>Banco_Pichincha</t>
  </si>
  <si>
    <t>bancos</t>
  </si>
  <si>
    <t>Recaudos Administrativos</t>
  </si>
  <si>
    <t>CCF, Fondos y Cesantias</t>
  </si>
  <si>
    <t>Asesorías</t>
  </si>
  <si>
    <t>Cámara de Comercio</t>
  </si>
  <si>
    <t>Centros Comerciales</t>
  </si>
  <si>
    <t>Cobranzas</t>
  </si>
  <si>
    <t>Comercializadora Automotriz</t>
  </si>
  <si>
    <t>Clubes Campestre y Recreación</t>
  </si>
  <si>
    <t>Cooperativas, Asociaciones y Agremiaciones</t>
  </si>
  <si>
    <t>Deportes</t>
  </si>
  <si>
    <t>Educativos</t>
  </si>
  <si>
    <t>Fondo de Empleados</t>
  </si>
  <si>
    <t>Grupo Coomeva</t>
  </si>
  <si>
    <t>Impuestos Municipales</t>
  </si>
  <si>
    <t>Inmobiliaria</t>
  </si>
  <si>
    <t>Litografias</t>
  </si>
  <si>
    <t>Turismo y Agencia de Viajes</t>
  </si>
  <si>
    <t>Telefonía Movil</t>
  </si>
  <si>
    <t>Gremios y Asociaciones</t>
  </si>
  <si>
    <t>Servicios de Salud</t>
  </si>
  <si>
    <t>Televisión por Suscripción</t>
  </si>
  <si>
    <t>Productos Confiar</t>
  </si>
  <si>
    <t>Proyectos De Vivienda</t>
  </si>
  <si>
    <t>Otros Servicios / Productos</t>
  </si>
  <si>
    <t>Productos Banco Agrario</t>
  </si>
  <si>
    <t>Inmobiliarias y Propiedad Horizontal</t>
  </si>
  <si>
    <t>Productos por Catálogo</t>
  </si>
  <si>
    <t>Distribuidoras y Comercializadoras</t>
  </si>
  <si>
    <t>Gremios</t>
  </si>
  <si>
    <t>Asociaciones y Cooperativas</t>
  </si>
  <si>
    <t>Agroinsumos</t>
  </si>
  <si>
    <t>Viajes y Recreación</t>
  </si>
  <si>
    <t>Pagos DTN</t>
  </si>
  <si>
    <t>Regalías</t>
  </si>
  <si>
    <t>CSJ Consejo Superior de la Judicatura</t>
  </si>
  <si>
    <t>Administración y Servicios Inmobiliarios</t>
  </si>
  <si>
    <t>Asociaciones</t>
  </si>
  <si>
    <t>Carga y Transporte</t>
  </si>
  <si>
    <t>Consultoría y Asesoría</t>
  </si>
  <si>
    <t>Cooperativas, Servicios y Fondos de Empleados</t>
  </si>
  <si>
    <t>Industria y Comercio</t>
  </si>
  <si>
    <t>Productos Pichincha</t>
  </si>
  <si>
    <t>Salud y Seguros</t>
  </si>
  <si>
    <t>Turismo y Recreación</t>
  </si>
  <si>
    <t>Por favor identifique la plantilla tipo que se ajusta a sus necesidades y con la paleta de colores de Excel establezca los colores requeridos en el tipo de plantilla seleccionada, al finalizar presione el botón Simular color.
Al seleccionar el color en los campos va a poder evidenciar como quedara configurada su funcionalidad. 
*** Tener presente que la letra en blanca y escoga colores que hagan contraste</t>
  </si>
  <si>
    <t>No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</si>
</sst>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164" formatCode="_(* #,##0.00_);_(* \(#,##0.00\);_(* &quot;-&quot;??_);_(@_)"/>
    <numFmt numFmtId="165" formatCode="&quot;$&quot;\ #,##0_);[Red]\(&quot;$&quot;\ #,##0\)"/>
    <numFmt numFmtId="166" formatCode="_(&quot;$&quot;\ * #,##0.00_);_(&quot;$&quot;\ * \(#,##0.00\);_(&quot;$&quot;\ * &quot;-&quot;??_);_(@_)"/>
    <numFmt numFmtId="167" formatCode="[$-F800]dddd\,\ mmmm\ dd\,\ yyyy"/>
    <numFmt numFmtId="168" formatCode="_(&quot;$&quot;\ * #,##0_);_(&quot;$&quot;\ * \(#,##0\);_(&quot;$&quot;\ * &quot;-&quot;??_);_(@_)"/>
    <numFmt numFmtId="169" formatCode="_(* #,##0_);_(* \(#,##0\);_(* &quot;-&quot;??_);_(@_)"/>
  </numFmts>
  <fonts count="54" x14ac:knownFonts="1">
    <font>
      <sz val="11"/>
      <color theme="1"/>
      <name val="Calibri"/>
      <family val="2"/>
      <scheme val="minor"/>
    </font>
    <font>
      <sz val="10"/>
      <name val="Calibri"/>
      <family val="2"/>
    </font>
    <font>
      <b/>
      <sz val="10"/>
      <name val="Calibri"/>
      <family val="2"/>
    </font>
    <font>
      <b/>
      <i/>
      <sz val="10"/>
      <color indexed="8"/>
      <name val="Calibri"/>
      <family val="2"/>
    </font>
    <font>
      <sz val="10"/>
      <color indexed="8"/>
      <name val="Calibri"/>
      <family val="2"/>
    </font>
    <font>
      <b/>
      <sz val="11"/>
      <color indexed="8"/>
      <name val="Franklin Gothic Book"/>
      <family val="2"/>
    </font>
    <font>
      <sz val="11"/>
      <color indexed="8"/>
      <name val="Franklin Gothic Book"/>
      <family val="2"/>
    </font>
    <font>
      <sz val="7"/>
      <color indexed="8"/>
      <name val="Times New Roman"/>
      <family val="1"/>
    </font>
    <font>
      <b/>
      <sz val="11"/>
      <name val="Franklin Gothic Book"/>
      <family val="2"/>
    </font>
    <font>
      <sz val="11"/>
      <color indexed="8"/>
      <name val="Verdana"/>
      <family val="2"/>
    </font>
    <font>
      <sz val="11"/>
      <color theme="1"/>
      <name val="Calibri"/>
      <family val="2"/>
      <scheme val="minor"/>
    </font>
    <font>
      <sz val="11"/>
      <color theme="0"/>
      <name val="Calibri"/>
      <family val="2"/>
      <scheme val="minor"/>
    </font>
    <font>
      <b/>
      <sz val="11"/>
      <color theme="0"/>
      <name val="Calibri"/>
      <family val="2"/>
      <scheme val="minor"/>
    </font>
    <font>
      <u/>
      <sz val="11"/>
      <color theme="10"/>
      <name val="Calibri"/>
      <family val="2"/>
      <scheme val="minor"/>
    </font>
    <font>
      <sz val="11"/>
      <color rgb="FFFF0000"/>
      <name val="Calibri"/>
      <family val="2"/>
      <scheme val="minor"/>
    </font>
    <font>
      <b/>
      <sz val="11"/>
      <color theme="1"/>
      <name val="Calibri"/>
      <family val="2"/>
      <scheme val="minor"/>
    </font>
    <font>
      <sz val="8"/>
      <color theme="1"/>
      <name val="Calibri"/>
      <family val="2"/>
      <scheme val="minor"/>
    </font>
    <font>
      <sz val="10"/>
      <name val="Calibri"/>
      <family val="2"/>
      <scheme val="minor"/>
    </font>
    <font>
      <sz val="10"/>
      <color theme="1"/>
      <name val="Calibri"/>
      <family val="2"/>
      <scheme val="minor"/>
    </font>
    <font>
      <b/>
      <sz val="10"/>
      <name val="Calibri"/>
      <family val="2"/>
      <scheme val="minor"/>
    </font>
    <font>
      <b/>
      <sz val="10"/>
      <color theme="1"/>
      <name val="Calibri"/>
      <family val="2"/>
      <scheme val="minor"/>
    </font>
    <font>
      <sz val="8"/>
      <name val="Calibri"/>
      <family val="2"/>
      <scheme val="minor"/>
    </font>
    <font>
      <sz val="9"/>
      <color theme="1"/>
      <name val="Calibri"/>
      <family val="2"/>
      <scheme val="minor"/>
    </font>
    <font>
      <sz val="9"/>
      <color rgb="FFFF0000"/>
      <name val="Calibri"/>
      <family val="2"/>
      <scheme val="minor"/>
    </font>
    <font>
      <sz val="9"/>
      <name val="Calibri"/>
      <family val="2"/>
      <scheme val="minor"/>
    </font>
    <font>
      <sz val="12"/>
      <color rgb="FF000000"/>
      <name val="Calibri"/>
      <family val="2"/>
      <scheme val="minor"/>
    </font>
    <font>
      <sz val="12"/>
      <color theme="1"/>
      <name val="Calibri"/>
      <family val="2"/>
      <scheme val="minor"/>
    </font>
    <font>
      <b/>
      <sz val="10"/>
      <color theme="0"/>
      <name val="Calibri"/>
      <family val="2"/>
      <scheme val="minor"/>
    </font>
    <font>
      <b/>
      <sz val="9"/>
      <color rgb="FFFF0000"/>
      <name val="Calibri"/>
      <family val="2"/>
      <scheme val="minor"/>
    </font>
    <font>
      <sz val="10"/>
      <color rgb="FFFF0000"/>
      <name val="Calibri"/>
      <family val="2"/>
      <scheme val="minor"/>
    </font>
    <font>
      <b/>
      <sz val="12"/>
      <color theme="1"/>
      <name val="Calibri"/>
      <family val="2"/>
      <scheme val="minor"/>
    </font>
    <font>
      <sz val="11"/>
      <color theme="1"/>
      <name val="Franklin Gothic Book"/>
      <family val="2"/>
    </font>
    <font>
      <b/>
      <sz val="11"/>
      <color theme="1"/>
      <name val="Franklin Gothic Book"/>
      <family val="2"/>
    </font>
    <font>
      <b/>
      <sz val="11"/>
      <color rgb="FFFFFFFF"/>
      <name val="Franklin Gothic Book"/>
      <family val="2"/>
    </font>
    <font>
      <b/>
      <sz val="11"/>
      <color theme="0"/>
      <name val="Franklin Gothic Book"/>
      <family val="2"/>
    </font>
    <font>
      <sz val="11"/>
      <name val="Calibri"/>
      <family val="2"/>
      <scheme val="minor"/>
    </font>
    <font>
      <b/>
      <sz val="12"/>
      <name val="Calibri"/>
      <family val="2"/>
      <scheme val="minor"/>
    </font>
    <font>
      <sz val="11"/>
      <color theme="0" tint="-0.249977111117893"/>
      <name val="Calibri"/>
      <family val="2"/>
      <scheme val="minor"/>
    </font>
    <font>
      <b/>
      <sz val="10"/>
      <color rgb="FFFFFFFF"/>
      <name val="Franklin Gothic Book"/>
      <family val="2"/>
    </font>
    <font>
      <u/>
      <sz val="9"/>
      <color theme="10"/>
      <name val="Calibri"/>
      <family val="2"/>
      <scheme val="minor"/>
    </font>
    <font>
      <u/>
      <sz val="9"/>
      <name val="Calibri"/>
      <family val="2"/>
      <scheme val="minor"/>
    </font>
    <font>
      <u/>
      <sz val="10"/>
      <color theme="10"/>
      <name val="Calibri"/>
      <family val="2"/>
      <scheme val="minor"/>
    </font>
    <font>
      <sz val="6"/>
      <color rgb="FFFF0000"/>
      <name val="Calibri"/>
      <family val="2"/>
      <scheme val="minor"/>
    </font>
    <font>
      <b/>
      <sz val="14"/>
      <color theme="0"/>
      <name val="Arial"/>
      <family val="2"/>
    </font>
    <font>
      <b/>
      <sz val="10"/>
      <color theme="0" tint="-4.9989318521683403E-2"/>
      <name val="Calibri"/>
      <family val="2"/>
      <scheme val="minor"/>
    </font>
    <font>
      <sz val="10"/>
      <color theme="0" tint="-4.9989318521683403E-2"/>
      <name val="Calibri"/>
      <family val="2"/>
      <scheme val="minor"/>
    </font>
    <font>
      <sz val="8"/>
      <color theme="0" tint="-4.9989318521683403E-2"/>
      <name val="Calibri"/>
      <family val="2"/>
      <scheme val="minor"/>
    </font>
    <font>
      <sz val="11"/>
      <color theme="5"/>
      <name val="Calibri"/>
      <family val="2"/>
      <scheme val="minor"/>
    </font>
    <font>
      <sz val="11"/>
      <color theme="0" tint="-4.9989318521683403E-2"/>
      <name val="Calibri"/>
      <family val="2"/>
      <scheme val="minor"/>
    </font>
    <font>
      <sz val="10"/>
      <color theme="5"/>
      <name val="Calibri"/>
      <family val="2"/>
      <scheme val="minor"/>
    </font>
    <font>
      <sz val="11"/>
      <color rgb="FF000000"/>
      <name val="Calibri"/>
      <family val="2"/>
    </font>
    <font>
      <sz val="14"/>
      <color rgb="FF000000"/>
      <name val="Calibri"/>
      <family val="2"/>
    </font>
    <font>
      <sz val="12"/>
      <name val="Calibri"/>
      <family val="2"/>
      <scheme val="minor"/>
    </font>
    <font>
      <sz val="6"/>
      <color theme="0"/>
      <name val="Calibri"/>
      <family val="2"/>
      <scheme val="minor"/>
    </font>
  </fonts>
  <fills count="15">
    <fill>
      <patternFill patternType="none"/>
    </fill>
    <fill>
      <patternFill patternType="gray125"/>
    </fill>
    <fill>
      <patternFill patternType="solid">
        <fgColor theme="0"/>
        <bgColor indexed="64"/>
      </patternFill>
    </fill>
    <fill>
      <patternFill patternType="solid">
        <fgColor theme="4" tint="0.59999389629810485"/>
        <bgColor indexed="64"/>
      </patternFill>
    </fill>
    <fill>
      <patternFill patternType="solid">
        <fgColor rgb="FFFFDE00"/>
        <bgColor indexed="64"/>
      </patternFill>
    </fill>
    <fill>
      <patternFill patternType="solid">
        <fgColor rgb="FF0070C0"/>
        <bgColor indexed="64"/>
      </patternFill>
    </fill>
    <fill>
      <patternFill patternType="solid">
        <fgColor theme="4"/>
        <bgColor indexed="64"/>
      </patternFill>
    </fill>
    <fill>
      <patternFill patternType="solid">
        <fgColor rgb="FFFFF081"/>
        <bgColor indexed="64"/>
      </patternFill>
    </fill>
    <fill>
      <patternFill patternType="solid">
        <fgColor theme="4" tint="0.79998168889431442"/>
        <bgColor indexed="64"/>
      </patternFill>
    </fill>
    <fill>
      <patternFill patternType="solid">
        <fgColor theme="3" tint="0.79998168889431442"/>
        <bgColor indexed="64"/>
      </patternFill>
    </fill>
    <fill>
      <patternFill patternType="solid">
        <fgColor rgb="FF92D050"/>
        <bgColor indexed="64"/>
      </patternFill>
    </fill>
    <fill>
      <patternFill patternType="solid">
        <fgColor indexed="65"/>
        <bgColor indexed="64"/>
      </patternFill>
    </fill>
    <fill>
      <patternFill patternType="solid">
        <fgColor theme="0" tint="-4.9989318521683403E-2"/>
        <bgColor indexed="64"/>
      </patternFill>
    </fill>
    <fill>
      <patternFill patternType="solid">
        <fgColor rgb="FF00B0F0"/>
        <bgColor indexed="64"/>
      </patternFill>
    </fill>
    <fill>
      <patternFill patternType="solid">
        <fgColor theme="6"/>
        <bgColor indexed="64"/>
      </patternFill>
    </fill>
  </fills>
  <borders count="44">
    <border>
      <left/>
      <right/>
      <top/>
      <bottom/>
      <diagonal/>
    </border>
    <border>
      <left/>
      <right style="medium">
        <color indexed="64"/>
      </right>
      <top/>
      <bottom style="medium">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diagonal/>
    </border>
    <border>
      <left style="medium">
        <color indexed="64"/>
      </left>
      <right/>
      <top/>
      <bottom/>
      <diagonal/>
    </border>
    <border>
      <left/>
      <right style="medium">
        <color indexed="64"/>
      </right>
      <top style="medium">
        <color indexed="64"/>
      </top>
      <bottom/>
      <diagonal/>
    </border>
    <border>
      <left/>
      <right/>
      <top style="medium">
        <color indexed="64"/>
      </top>
      <bottom/>
      <diagonal/>
    </border>
    <border>
      <left style="medium">
        <color indexed="64"/>
      </left>
      <right/>
      <top style="medium">
        <color indexed="64"/>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right/>
      <top/>
      <bottom style="thin">
        <color theme="3" tint="0.39994506668294322"/>
      </bottom>
      <diagonal/>
    </border>
    <border>
      <left/>
      <right/>
      <top style="thin">
        <color theme="3" tint="0.39994506668294322"/>
      </top>
      <bottom/>
      <diagonal/>
    </border>
    <border>
      <left style="thin">
        <color theme="3" tint="0.39994506668294322"/>
      </left>
      <right/>
      <top/>
      <bottom/>
      <diagonal/>
    </border>
    <border>
      <left/>
      <right style="thin">
        <color theme="4"/>
      </right>
      <top style="thin">
        <color theme="4"/>
      </top>
      <bottom style="thin">
        <color theme="3" tint="0.39994506668294322"/>
      </bottom>
      <diagonal/>
    </border>
    <border>
      <left/>
      <right/>
      <top/>
      <bottom style="thin">
        <color theme="3" tint="0.39991454817346722"/>
      </bottom>
      <diagonal/>
    </border>
    <border>
      <left style="thin">
        <color theme="3" tint="0.39994506668294322"/>
      </left>
      <right/>
      <top style="thin">
        <color theme="3" tint="0.39994506668294322"/>
      </top>
      <bottom style="thin">
        <color theme="3" tint="0.39994506668294322"/>
      </bottom>
      <diagonal/>
    </border>
    <border>
      <left/>
      <right/>
      <top style="thin">
        <color theme="3" tint="0.39994506668294322"/>
      </top>
      <bottom style="thin">
        <color theme="3" tint="0.39994506668294322"/>
      </bottom>
      <diagonal/>
    </border>
    <border>
      <left/>
      <right style="thin">
        <color theme="3" tint="0.39994506668294322"/>
      </right>
      <top style="thin">
        <color theme="3" tint="0.39994506668294322"/>
      </top>
      <bottom style="thin">
        <color theme="3" tint="0.39994506668294322"/>
      </bottom>
      <diagonal/>
    </border>
    <border>
      <left/>
      <right style="thin">
        <color theme="4"/>
      </right>
      <top/>
      <bottom/>
      <diagonal/>
    </border>
    <border>
      <left style="medium">
        <color indexed="64"/>
      </left>
      <right/>
      <top/>
      <bottom style="medium">
        <color rgb="FF000000"/>
      </bottom>
      <diagonal/>
    </border>
    <border>
      <left style="medium">
        <color indexed="64"/>
      </left>
      <right/>
      <top style="medium">
        <color rgb="FF000000"/>
      </top>
      <bottom/>
      <diagonal/>
    </border>
    <border>
      <left style="medium">
        <color indexed="64"/>
      </left>
      <right/>
      <top style="medium">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s>
  <cellStyleXfs count="5">
    <xf numFmtId="0" fontId="0" fillId="0" borderId="0"/>
    <xf numFmtId="0" fontId="13" fillId="0" borderId="0" applyNumberFormat="0" applyFill="0" applyBorder="0" applyAlignment="0" applyProtection="0"/>
    <xf numFmtId="164" fontId="10" fillId="0" borderId="0" applyFont="0" applyFill="0" applyBorder="0" applyAlignment="0" applyProtection="0"/>
    <xf numFmtId="166" fontId="10" fillId="0" borderId="0" applyFont="0" applyFill="0" applyBorder="0" applyAlignment="0" applyProtection="0"/>
    <xf numFmtId="166" fontId="10" fillId="0" borderId="0" applyFont="0" applyFill="0" applyBorder="0" applyAlignment="0" applyProtection="0"/>
  </cellStyleXfs>
  <cellXfs count="380">
    <xf numFmtId="0" fontId="0" fillId="0" borderId="0" xfId="0"/>
    <xf numFmtId="0" fontId="16" fillId="0" borderId="0" xfId="0" applyFont="1"/>
    <xf numFmtId="0" fontId="17" fillId="2" borderId="0" xfId="0" applyFont="1" applyFill="1"/>
    <xf numFmtId="0" fontId="19" fillId="2" borderId="0" xfId="0" applyFont="1" applyFill="1" applyAlignment="1" applyProtection="1">
      <alignment vertical="center"/>
      <protection locked="0"/>
    </xf>
    <xf numFmtId="0" fontId="11" fillId="0" borderId="0" xfId="0" applyFont="1"/>
    <xf numFmtId="0" fontId="19" fillId="2" borderId="0" xfId="0" applyFont="1" applyFill="1" applyAlignment="1" applyProtection="1">
      <alignment horizontal="center" vertical="center"/>
      <protection locked="0"/>
    </xf>
    <xf numFmtId="0" fontId="19" fillId="0" borderId="0" xfId="0" applyFont="1" applyAlignment="1" applyProtection="1">
      <alignment horizontal="center" vertical="center" wrapText="1"/>
      <protection locked="0"/>
    </xf>
    <xf numFmtId="0" fontId="23" fillId="0" borderId="0" xfId="0" applyFont="1" applyProtection="1">
      <protection locked="0"/>
    </xf>
    <xf numFmtId="0" fontId="23" fillId="0" borderId="0" xfId="0" applyFont="1" applyAlignment="1" applyProtection="1">
      <alignment vertical="center"/>
      <protection locked="0"/>
    </xf>
    <xf numFmtId="0" fontId="28" fillId="0" borderId="0" xfId="0" applyFont="1" applyAlignment="1" applyProtection="1">
      <alignment vertical="center"/>
      <protection locked="0"/>
    </xf>
    <xf numFmtId="0" fontId="0" fillId="0" borderId="0" xfId="0" applyAlignment="1">
      <alignment horizontal="center"/>
    </xf>
    <xf numFmtId="0" fontId="0" fillId="2" borderId="0" xfId="0" applyFill="1"/>
    <xf numFmtId="0" fontId="0" fillId="2" borderId="0" xfId="0" applyFill="1" applyAlignment="1">
      <alignment vertical="center"/>
    </xf>
    <xf numFmtId="0" fontId="15" fillId="2" borderId="0" xfId="0" applyFont="1" applyFill="1"/>
    <xf numFmtId="0" fontId="0" fillId="2" borderId="1" xfId="0" applyFill="1" applyBorder="1"/>
    <xf numFmtId="0" fontId="0" fillId="2" borderId="2" xfId="0" applyFill="1" applyBorder="1" applyAlignment="1">
      <alignment vertical="center"/>
    </xf>
    <xf numFmtId="0" fontId="0" fillId="2" borderId="2" xfId="0" applyFill="1" applyBorder="1"/>
    <xf numFmtId="0" fontId="0" fillId="2" borderId="3" xfId="0" applyFill="1" applyBorder="1"/>
    <xf numFmtId="0" fontId="0" fillId="2" borderId="4" xfId="0" applyFill="1" applyBorder="1"/>
    <xf numFmtId="0" fontId="0" fillId="2" borderId="5" xfId="0" applyFill="1" applyBorder="1"/>
    <xf numFmtId="0" fontId="15" fillId="2" borderId="0" xfId="0" applyFont="1" applyFill="1" applyAlignment="1">
      <alignment vertical="center"/>
    </xf>
    <xf numFmtId="0" fontId="0" fillId="2" borderId="6" xfId="0" applyFill="1" applyBorder="1"/>
    <xf numFmtId="0" fontId="0" fillId="2" borderId="7" xfId="0" applyFill="1" applyBorder="1" applyAlignment="1">
      <alignment vertical="center"/>
    </xf>
    <xf numFmtId="0" fontId="0" fillId="2" borderId="7" xfId="0" applyFill="1" applyBorder="1"/>
    <xf numFmtId="0" fontId="30" fillId="2" borderId="8" xfId="0" applyFont="1" applyFill="1" applyBorder="1"/>
    <xf numFmtId="0" fontId="14" fillId="2" borderId="0" xfId="0" applyFont="1" applyFill="1" applyAlignment="1">
      <alignment vertical="center" wrapText="1"/>
    </xf>
    <xf numFmtId="0" fontId="14" fillId="2" borderId="4" xfId="0" applyFont="1" applyFill="1" applyBorder="1" applyAlignment="1">
      <alignment vertical="center" wrapText="1"/>
    </xf>
    <xf numFmtId="0" fontId="15" fillId="2" borderId="7" xfId="0" applyFont="1" applyFill="1" applyBorder="1"/>
    <xf numFmtId="0" fontId="19" fillId="2" borderId="0" xfId="0" applyFont="1" applyFill="1" applyAlignment="1" applyProtection="1">
      <alignment horizontal="left" vertical="center"/>
      <protection locked="0"/>
    </xf>
    <xf numFmtId="0" fontId="31" fillId="0" borderId="0" xfId="0" applyFont="1" applyAlignment="1">
      <alignment vertical="center"/>
    </xf>
    <xf numFmtId="0" fontId="32" fillId="0" borderId="0" xfId="0" applyFont="1" applyAlignment="1">
      <alignment vertical="center"/>
    </xf>
    <xf numFmtId="0" fontId="32" fillId="0" borderId="0" xfId="0" applyFont="1" applyAlignment="1">
      <alignment horizontal="left" vertical="center"/>
    </xf>
    <xf numFmtId="0" fontId="32" fillId="0" borderId="0" xfId="0" applyFont="1" applyAlignment="1">
      <alignment horizontal="left" vertical="center" indent="3"/>
    </xf>
    <xf numFmtId="0" fontId="33" fillId="0" borderId="0" xfId="0" applyFont="1" applyAlignment="1">
      <alignment vertical="center"/>
    </xf>
    <xf numFmtId="0" fontId="31" fillId="0" borderId="0" xfId="0" applyFont="1" applyAlignment="1">
      <alignment horizontal="left" vertical="center" indent="3"/>
    </xf>
    <xf numFmtId="0" fontId="32" fillId="0" borderId="0" xfId="0" applyFont="1" applyAlignment="1">
      <alignment horizontal="left" vertical="center" indent="5"/>
    </xf>
    <xf numFmtId="0" fontId="0" fillId="0" borderId="0" xfId="0" applyAlignment="1">
      <alignment wrapText="1"/>
    </xf>
    <xf numFmtId="0" fontId="0" fillId="0" borderId="0" xfId="0" applyAlignment="1">
      <alignment horizontal="center" wrapText="1"/>
    </xf>
    <xf numFmtId="0" fontId="31" fillId="0" borderId="0" xfId="0" applyFont="1" applyAlignment="1">
      <alignment horizontal="center" vertical="center"/>
    </xf>
    <xf numFmtId="0" fontId="34" fillId="0" borderId="0" xfId="0" applyFont="1" applyAlignment="1">
      <alignment horizontal="center" vertical="center" wrapText="1"/>
    </xf>
    <xf numFmtId="0" fontId="11" fillId="0" borderId="0" xfId="0" applyFont="1" applyAlignment="1">
      <alignment horizontal="center" vertical="center"/>
    </xf>
    <xf numFmtId="0" fontId="35" fillId="0" borderId="0" xfId="0" applyFont="1"/>
    <xf numFmtId="0" fontId="5" fillId="0" borderId="0" xfId="0" applyFont="1" applyAlignment="1">
      <alignment horizontal="left" vertical="center" indent="3"/>
    </xf>
    <xf numFmtId="0" fontId="9" fillId="0" borderId="0" xfId="0" applyFont="1" applyAlignment="1">
      <alignment horizontal="left" vertical="center" indent="5"/>
    </xf>
    <xf numFmtId="0" fontId="6" fillId="0" borderId="0" xfId="0" applyFont="1" applyAlignment="1">
      <alignment horizontal="left" vertical="center" indent="5"/>
    </xf>
    <xf numFmtId="0" fontId="35" fillId="2" borderId="0" xfId="0" applyFont="1" applyFill="1"/>
    <xf numFmtId="49" fontId="0" fillId="0" borderId="0" xfId="0" applyNumberFormat="1"/>
    <xf numFmtId="0" fontId="37" fillId="0" borderId="0" xfId="0" applyFont="1" applyAlignment="1">
      <alignment horizontal="right"/>
    </xf>
    <xf numFmtId="169" fontId="10" fillId="0" borderId="0" xfId="2" applyNumberFormat="1"/>
    <xf numFmtId="0" fontId="35" fillId="0" borderId="15" xfId="0" applyFont="1" applyBorder="1"/>
    <xf numFmtId="0" fontId="35" fillId="0" borderId="16" xfId="0" applyFont="1" applyBorder="1"/>
    <xf numFmtId="0" fontId="35" fillId="0" borderId="17" xfId="0" applyFont="1" applyBorder="1"/>
    <xf numFmtId="0" fontId="35" fillId="0" borderId="11" xfId="0" applyFont="1" applyBorder="1"/>
    <xf numFmtId="0" fontId="35" fillId="0" borderId="10" xfId="0" applyFont="1" applyBorder="1"/>
    <xf numFmtId="0" fontId="35" fillId="0" borderId="12" xfId="0" applyFont="1" applyBorder="1"/>
    <xf numFmtId="0" fontId="35" fillId="0" borderId="13" xfId="0" applyFont="1" applyBorder="1"/>
    <xf numFmtId="0" fontId="35" fillId="0" borderId="14" xfId="0" applyFont="1" applyBorder="1"/>
    <xf numFmtId="0" fontId="35" fillId="0" borderId="8" xfId="0" applyFont="1" applyBorder="1"/>
    <xf numFmtId="0" fontId="35" fillId="0" borderId="7" xfId="0" applyFont="1" applyBorder="1"/>
    <xf numFmtId="0" fontId="35" fillId="0" borderId="6" xfId="0" applyFont="1" applyBorder="1"/>
    <xf numFmtId="0" fontId="35" fillId="0" borderId="5" xfId="0" applyFont="1" applyBorder="1"/>
    <xf numFmtId="0" fontId="35" fillId="0" borderId="4" xfId="0" applyFont="1" applyBorder="1"/>
    <xf numFmtId="0" fontId="35" fillId="0" borderId="3" xfId="0" applyFont="1" applyBorder="1"/>
    <xf numFmtId="0" fontId="35" fillId="0" borderId="2" xfId="0" applyFont="1" applyBorder="1"/>
    <xf numFmtId="0" fontId="35" fillId="0" borderId="1" xfId="0" applyFont="1" applyBorder="1"/>
    <xf numFmtId="0" fontId="0" fillId="0" borderId="5" xfId="0" applyBorder="1"/>
    <xf numFmtId="0" fontId="0" fillId="0" borderId="4" xfId="0" applyBorder="1"/>
    <xf numFmtId="0" fontId="0" fillId="0" borderId="2" xfId="0" applyBorder="1"/>
    <xf numFmtId="0" fontId="15" fillId="0" borderId="7" xfId="0" applyFont="1" applyBorder="1"/>
    <xf numFmtId="165" fontId="0" fillId="0" borderId="0" xfId="0" applyNumberFormat="1"/>
    <xf numFmtId="0" fontId="38" fillId="0" borderId="0" xfId="0" applyFont="1" applyAlignment="1">
      <alignment vertical="center" textRotation="90"/>
    </xf>
    <xf numFmtId="0" fontId="31" fillId="7" borderId="9" xfId="0" applyFont="1" applyFill="1" applyBorder="1" applyAlignment="1">
      <alignment vertical="center"/>
    </xf>
    <xf numFmtId="0" fontId="13" fillId="0" borderId="0" xfId="1"/>
    <xf numFmtId="0" fontId="47" fillId="0" borderId="0" xfId="0" applyFont="1"/>
    <xf numFmtId="0" fontId="47" fillId="0" borderId="0" xfId="0" applyFont="1" applyAlignment="1">
      <alignment vertical="center"/>
    </xf>
    <xf numFmtId="0" fontId="48" fillId="0" borderId="0" xfId="0" applyFont="1"/>
    <xf numFmtId="0" fontId="48" fillId="0" borderId="0" xfId="0" applyFont="1" applyAlignment="1">
      <alignment vertical="center"/>
    </xf>
    <xf numFmtId="0" fontId="17" fillId="2" borderId="4" xfId="0" applyFont="1" applyFill="1" applyBorder="1"/>
    <xf numFmtId="0" fontId="0" fillId="11" borderId="0" xfId="0" applyFill="1"/>
    <xf numFmtId="0" fontId="0" fillId="0" borderId="0" xfId="0" applyAlignment="1">
      <alignment vertical="center"/>
    </xf>
    <xf numFmtId="0" fontId="15" fillId="2" borderId="0" xfId="0" applyFont="1" applyFill="1" applyAlignment="1">
      <alignment horizontal="center" vertical="center"/>
    </xf>
    <xf numFmtId="0" fontId="42" fillId="12" borderId="0" xfId="0" applyFont="1" applyFill="1" applyAlignment="1">
      <alignment horizontal="center" vertical="center"/>
    </xf>
    <xf numFmtId="0" fontId="0" fillId="12" borderId="0" xfId="0" applyFill="1"/>
    <xf numFmtId="0" fontId="42" fillId="0" borderId="4" xfId="0" applyFont="1" applyBorder="1" applyAlignment="1">
      <alignment vertical="center"/>
    </xf>
    <xf numFmtId="0" fontId="15" fillId="0" borderId="0" xfId="0" applyFont="1" applyAlignment="1">
      <alignment vertical="center"/>
    </xf>
    <xf numFmtId="0" fontId="42" fillId="10" borderId="0" xfId="0" applyFont="1" applyFill="1" applyAlignment="1">
      <alignment vertical="center"/>
    </xf>
    <xf numFmtId="0" fontId="42" fillId="10" borderId="4" xfId="0" applyFont="1" applyFill="1" applyBorder="1" applyAlignment="1">
      <alignment vertical="center"/>
    </xf>
    <xf numFmtId="0" fontId="42" fillId="12" borderId="0" xfId="0" applyFont="1" applyFill="1" applyAlignment="1">
      <alignment vertical="center"/>
    </xf>
    <xf numFmtId="0" fontId="15" fillId="13" borderId="0" xfId="0" applyFont="1" applyFill="1" applyAlignment="1">
      <alignment vertical="center"/>
    </xf>
    <xf numFmtId="0" fontId="15" fillId="13" borderId="8" xfId="0" applyFont="1" applyFill="1" applyBorder="1" applyAlignment="1">
      <alignment vertical="center"/>
    </xf>
    <xf numFmtId="0" fontId="15" fillId="13" borderId="7" xfId="0" applyFont="1" applyFill="1" applyBorder="1" applyAlignment="1">
      <alignment vertical="center"/>
    </xf>
    <xf numFmtId="0" fontId="15" fillId="13" borderId="6" xfId="0" applyFont="1" applyFill="1" applyBorder="1" applyAlignment="1">
      <alignment vertical="center"/>
    </xf>
    <xf numFmtId="0" fontId="19" fillId="0" borderId="0" xfId="0" applyFont="1" applyAlignment="1" applyProtection="1">
      <alignment horizontal="left" vertical="center"/>
      <protection locked="0"/>
    </xf>
    <xf numFmtId="0" fontId="18" fillId="2" borderId="0" xfId="0" applyFont="1" applyFill="1" applyProtection="1">
      <protection locked="0"/>
    </xf>
    <xf numFmtId="0" fontId="16" fillId="0" borderId="0" xfId="0" applyFont="1" applyProtection="1">
      <protection locked="0"/>
    </xf>
    <xf numFmtId="0" fontId="17" fillId="2" borderId="0" xfId="0" applyFont="1" applyFill="1" applyProtection="1">
      <protection locked="0"/>
    </xf>
    <xf numFmtId="0" fontId="17" fillId="3" borderId="9" xfId="0" applyFont="1" applyFill="1" applyBorder="1" applyProtection="1">
      <protection locked="0"/>
    </xf>
    <xf numFmtId="49" fontId="17" fillId="2" borderId="23" xfId="0" applyNumberFormat="1" applyFont="1" applyFill="1" applyBorder="1" applyAlignment="1" applyProtection="1">
      <alignment horizontal="left" vertical="center" wrapText="1"/>
      <protection locked="0"/>
    </xf>
    <xf numFmtId="0" fontId="17" fillId="2" borderId="23" xfId="0" applyFont="1" applyFill="1" applyBorder="1" applyAlignment="1" applyProtection="1">
      <alignment horizontal="left" vertical="center" wrapText="1"/>
      <protection locked="0"/>
    </xf>
    <xf numFmtId="0" fontId="17" fillId="2" borderId="0" xfId="0" applyFont="1" applyFill="1" applyAlignment="1" applyProtection="1">
      <alignment horizontal="left" vertical="center" wrapText="1"/>
      <protection locked="0"/>
    </xf>
    <xf numFmtId="0" fontId="17" fillId="2" borderId="0" xfId="0" applyFont="1" applyFill="1" applyAlignment="1" applyProtection="1">
      <alignment vertical="center" wrapText="1"/>
      <protection locked="0"/>
    </xf>
    <xf numFmtId="0" fontId="0" fillId="0" borderId="0" xfId="0" applyProtection="1">
      <protection locked="0"/>
    </xf>
    <xf numFmtId="0" fontId="17" fillId="0" borderId="0" xfId="0" applyFont="1" applyAlignment="1" applyProtection="1">
      <alignment horizontal="left" vertical="center" wrapText="1"/>
      <protection locked="0"/>
    </xf>
    <xf numFmtId="0" fontId="18" fillId="0" borderId="0" xfId="0" applyFont="1" applyProtection="1">
      <protection locked="0"/>
    </xf>
    <xf numFmtId="0" fontId="1" fillId="0" borderId="0" xfId="0" applyFont="1" applyAlignment="1" applyProtection="1">
      <alignment horizontal="left" vertical="center"/>
      <protection locked="0"/>
    </xf>
    <xf numFmtId="0" fontId="29" fillId="2" borderId="0" xfId="0" applyFont="1" applyFill="1" applyProtection="1">
      <protection locked="0"/>
    </xf>
    <xf numFmtId="0" fontId="29" fillId="0" borderId="0" xfId="0" applyFont="1" applyProtection="1">
      <protection locked="0"/>
    </xf>
    <xf numFmtId="0" fontId="17" fillId="2" borderId="0" xfId="0" applyFont="1" applyFill="1" applyAlignment="1" applyProtection="1">
      <alignment horizontal="center" vertical="center"/>
      <protection locked="0"/>
    </xf>
    <xf numFmtId="0" fontId="17" fillId="0" borderId="0" xfId="0" applyFont="1" applyAlignment="1" applyProtection="1">
      <alignment horizontal="left" vertical="top" wrapText="1"/>
      <protection locked="0"/>
    </xf>
    <xf numFmtId="0" fontId="17" fillId="3" borderId="0" xfId="0" applyFont="1" applyFill="1" applyAlignment="1" applyProtection="1">
      <alignment horizontal="center"/>
      <protection locked="0"/>
    </xf>
    <xf numFmtId="0" fontId="19" fillId="2" borderId="0" xfId="0" applyFont="1" applyFill="1" applyProtection="1">
      <protection locked="0"/>
    </xf>
    <xf numFmtId="0" fontId="27" fillId="5" borderId="41" xfId="0" applyFont="1" applyFill="1" applyBorder="1" applyAlignment="1" applyProtection="1">
      <alignment horizontal="center" vertical="center"/>
      <protection locked="0"/>
    </xf>
    <xf numFmtId="0" fontId="22" fillId="0" borderId="0" xfId="0" applyFont="1" applyProtection="1">
      <protection locked="0"/>
    </xf>
    <xf numFmtId="0" fontId="17" fillId="3" borderId="22" xfId="0" applyFont="1" applyFill="1" applyBorder="1" applyAlignment="1" applyProtection="1">
      <alignment horizontal="center"/>
      <protection locked="0"/>
    </xf>
    <xf numFmtId="0" fontId="17" fillId="0" borderId="0" xfId="0" applyFont="1" applyAlignment="1" applyProtection="1">
      <alignment horizontal="center" vertical="center"/>
      <protection locked="0"/>
    </xf>
    <xf numFmtId="0" fontId="19" fillId="2" borderId="0" xfId="0" applyFont="1" applyFill="1" applyAlignment="1" applyProtection="1">
      <alignment horizontal="center" vertical="center" wrapText="1"/>
      <protection locked="0"/>
    </xf>
    <xf numFmtId="0" fontId="17" fillId="3" borderId="22" xfId="0" applyFont="1" applyFill="1" applyBorder="1" applyAlignment="1" applyProtection="1">
      <alignment horizontal="center" vertical="center"/>
      <protection locked="0"/>
    </xf>
    <xf numFmtId="0" fontId="17" fillId="2" borderId="0" xfId="0" applyFont="1" applyFill="1" applyAlignment="1" applyProtection="1">
      <alignment horizontal="left"/>
      <protection locked="0"/>
    </xf>
    <xf numFmtId="0" fontId="18" fillId="2" borderId="0" xfId="0" applyFont="1" applyFill="1" applyAlignment="1" applyProtection="1">
      <alignment horizontal="left"/>
      <protection locked="0"/>
    </xf>
    <xf numFmtId="0" fontId="17" fillId="2" borderId="0" xfId="0" applyFont="1" applyFill="1" applyAlignment="1" applyProtection="1">
      <alignment horizontal="center"/>
      <protection locked="0"/>
    </xf>
    <xf numFmtId="0" fontId="17" fillId="0" borderId="0" xfId="0" applyFont="1" applyProtection="1">
      <protection locked="0"/>
    </xf>
    <xf numFmtId="0" fontId="20" fillId="0" borderId="0" xfId="0" applyFont="1" applyAlignment="1" applyProtection="1">
      <alignment horizontal="center" vertical="center"/>
      <protection locked="0"/>
    </xf>
    <xf numFmtId="0" fontId="24" fillId="2" borderId="0" xfId="0" applyFont="1" applyFill="1" applyProtection="1">
      <protection locked="0"/>
    </xf>
    <xf numFmtId="0" fontId="17" fillId="2" borderId="0" xfId="0" applyFont="1" applyFill="1" applyAlignment="1" applyProtection="1">
      <alignment horizontal="left" wrapText="1"/>
      <protection locked="0"/>
    </xf>
    <xf numFmtId="0" fontId="21" fillId="2" borderId="0" xfId="0" applyFont="1" applyFill="1" applyAlignment="1" applyProtection="1">
      <alignment horizontal="left" vertical="center"/>
      <protection locked="0"/>
    </xf>
    <xf numFmtId="0" fontId="21" fillId="2" borderId="23" xfId="0" applyFont="1" applyFill="1" applyBorder="1" applyAlignment="1" applyProtection="1">
      <alignment horizontal="left" vertical="center"/>
      <protection locked="0"/>
    </xf>
    <xf numFmtId="0" fontId="17" fillId="2" borderId="0" xfId="0" applyFont="1" applyFill="1" applyAlignment="1" applyProtection="1">
      <alignment horizontal="left" vertical="center"/>
      <protection locked="0"/>
    </xf>
    <xf numFmtId="0" fontId="17" fillId="2" borderId="0" xfId="0" applyFont="1" applyFill="1" applyAlignment="1" applyProtection="1">
      <alignment vertical="center"/>
      <protection locked="0"/>
    </xf>
    <xf numFmtId="0" fontId="18" fillId="2" borderId="0" xfId="0" applyFont="1" applyFill="1" applyAlignment="1" applyProtection="1">
      <alignment vertical="center"/>
      <protection locked="0"/>
    </xf>
    <xf numFmtId="169" fontId="17" fillId="0" borderId="0" xfId="2" applyNumberFormat="1" applyFont="1" applyFill="1" applyBorder="1" applyAlignment="1" applyProtection="1">
      <alignment vertical="center"/>
      <protection locked="0"/>
    </xf>
    <xf numFmtId="168" fontId="17" fillId="2" borderId="0" xfId="3" applyNumberFormat="1" applyFont="1" applyFill="1" applyAlignment="1" applyProtection="1">
      <alignment horizontal="center" vertical="center"/>
      <protection locked="0"/>
    </xf>
    <xf numFmtId="0" fontId="35" fillId="0" borderId="0" xfId="0" applyFont="1" applyProtection="1">
      <protection locked="0"/>
    </xf>
    <xf numFmtId="14" fontId="17" fillId="2" borderId="0" xfId="0" applyNumberFormat="1" applyFont="1" applyFill="1" applyAlignment="1" applyProtection="1">
      <alignment horizontal="center" vertical="center"/>
      <protection locked="0"/>
    </xf>
    <xf numFmtId="0" fontId="42" fillId="14" borderId="0" xfId="0" applyFont="1" applyFill="1" applyAlignment="1">
      <alignment vertical="center"/>
    </xf>
    <xf numFmtId="0" fontId="42" fillId="14" borderId="4" xfId="0" applyFont="1" applyFill="1" applyBorder="1" applyAlignment="1">
      <alignment vertical="center"/>
    </xf>
    <xf numFmtId="0" fontId="14" fillId="0" borderId="0" xfId="0" applyFont="1" applyAlignment="1">
      <alignment horizontal="left" vertical="center" wrapText="1"/>
    </xf>
    <xf numFmtId="0" fontId="43" fillId="0" borderId="0" xfId="0" applyFont="1" applyAlignment="1">
      <alignment vertical="center" wrapText="1"/>
    </xf>
    <xf numFmtId="0" fontId="14" fillId="0" borderId="0" xfId="0" applyFont="1" applyAlignment="1">
      <alignment horizontal="center" vertical="center" wrapText="1"/>
    </xf>
    <xf numFmtId="0" fontId="53" fillId="13" borderId="0" xfId="0" applyFont="1" applyFill="1" applyAlignment="1">
      <alignment vertical="center"/>
    </xf>
    <xf numFmtId="0" fontId="53" fillId="13" borderId="8" xfId="0" applyFont="1" applyFill="1" applyBorder="1" applyAlignment="1">
      <alignment vertical="center"/>
    </xf>
    <xf numFmtId="0" fontId="53" fillId="13" borderId="7" xfId="0" applyFont="1" applyFill="1" applyBorder="1" applyAlignment="1">
      <alignment vertical="center"/>
    </xf>
    <xf numFmtId="0" fontId="53" fillId="13" borderId="6" xfId="0" applyFont="1" applyFill="1" applyBorder="1" applyAlignment="1">
      <alignment vertical="center"/>
    </xf>
    <xf numFmtId="0" fontId="19" fillId="2" borderId="0" xfId="0" applyFont="1" applyFill="1" applyAlignment="1" applyProtection="1">
      <alignment horizontal="left"/>
      <protection locked="0"/>
    </xf>
    <xf numFmtId="0" fontId="17" fillId="0" borderId="0" xfId="0" applyFont="1" applyAlignment="1" applyProtection="1">
      <alignment horizontal="left"/>
      <protection locked="0"/>
    </xf>
    <xf numFmtId="0" fontId="17" fillId="0" borderId="0" xfId="0" applyFont="1" applyAlignment="1" applyProtection="1">
      <alignment horizontal="left" vertical="center"/>
      <protection locked="0"/>
    </xf>
    <xf numFmtId="0" fontId="19" fillId="2" borderId="0" xfId="0" applyFont="1" applyFill="1" applyAlignment="1" applyProtection="1">
      <alignment horizontal="left" vertical="center"/>
      <protection locked="0"/>
    </xf>
    <xf numFmtId="49" fontId="17" fillId="2" borderId="22" xfId="0" applyNumberFormat="1" applyFont="1" applyFill="1" applyBorder="1" applyAlignment="1" applyProtection="1">
      <alignment horizontal="left" vertical="center" wrapText="1"/>
      <protection locked="0"/>
    </xf>
    <xf numFmtId="0" fontId="17" fillId="2" borderId="22" xfId="0" applyFont="1" applyFill="1" applyBorder="1" applyAlignment="1" applyProtection="1">
      <alignment horizontal="left" vertical="center" wrapText="1"/>
      <protection locked="0"/>
    </xf>
    <xf numFmtId="0" fontId="13" fillId="2" borderId="0" xfId="1" applyFill="1" applyAlignment="1" applyProtection="1">
      <alignment horizontal="center" vertical="center"/>
      <protection locked="0"/>
    </xf>
    <xf numFmtId="0" fontId="21" fillId="3" borderId="22" xfId="0" applyFont="1" applyFill="1" applyBorder="1" applyAlignment="1" applyProtection="1">
      <alignment horizontal="left" vertical="center"/>
      <protection locked="0"/>
    </xf>
    <xf numFmtId="0" fontId="21" fillId="0" borderId="22" xfId="0" applyFont="1" applyBorder="1" applyAlignment="1" applyProtection="1">
      <alignment horizontal="center" vertical="center"/>
      <protection locked="0"/>
    </xf>
    <xf numFmtId="0" fontId="17" fillId="0" borderId="0" xfId="0" applyFont="1" applyAlignment="1" applyProtection="1">
      <alignment horizontal="center" vertical="center"/>
      <protection locked="0"/>
    </xf>
    <xf numFmtId="0" fontId="27" fillId="5" borderId="0" xfId="0" applyFont="1" applyFill="1" applyAlignment="1" applyProtection="1">
      <alignment horizontal="left" vertical="center"/>
      <protection locked="0"/>
    </xf>
    <xf numFmtId="0" fontId="19" fillId="2" borderId="0" xfId="0" applyFont="1" applyFill="1" applyAlignment="1" applyProtection="1">
      <alignment horizontal="center" vertical="center"/>
      <protection locked="0"/>
    </xf>
    <xf numFmtId="0" fontId="19" fillId="4" borderId="0" xfId="0" applyFont="1" applyFill="1" applyAlignment="1" applyProtection="1">
      <alignment horizontal="left" vertical="center"/>
      <protection locked="0"/>
    </xf>
    <xf numFmtId="0" fontId="21" fillId="2" borderId="22" xfId="0" applyFont="1" applyFill="1" applyBorder="1" applyAlignment="1" applyProtection="1">
      <alignment horizontal="center" vertical="center"/>
      <protection locked="0"/>
    </xf>
    <xf numFmtId="0" fontId="17" fillId="2" borderId="0" xfId="0" applyFont="1" applyFill="1" applyAlignment="1" applyProtection="1">
      <alignment horizontal="left" wrapText="1"/>
      <protection locked="0"/>
    </xf>
    <xf numFmtId="0" fontId="17" fillId="2" borderId="0" xfId="0" applyFont="1" applyFill="1" applyAlignment="1" applyProtection="1">
      <alignment horizontal="left"/>
      <protection locked="0"/>
    </xf>
    <xf numFmtId="0" fontId="20" fillId="0" borderId="0" xfId="0" applyFont="1" applyAlignment="1" applyProtection="1">
      <alignment horizontal="center" vertical="center"/>
      <protection locked="0"/>
    </xf>
    <xf numFmtId="0" fontId="17" fillId="0" borderId="0" xfId="0" applyFont="1" applyAlignment="1" applyProtection="1">
      <alignment horizontal="left"/>
      <protection locked="0"/>
    </xf>
    <xf numFmtId="0" fontId="21" fillId="2" borderId="22" xfId="0" applyFont="1" applyFill="1" applyBorder="1" applyAlignment="1" applyProtection="1">
      <alignment horizontal="left" vertical="center"/>
      <protection locked="0"/>
    </xf>
    <xf numFmtId="0" fontId="19" fillId="2" borderId="0" xfId="0" applyFont="1" applyFill="1" applyAlignment="1" applyProtection="1">
      <alignment horizontal="left"/>
      <protection locked="0"/>
    </xf>
    <xf numFmtId="0" fontId="17" fillId="3" borderId="22" xfId="0" applyFont="1" applyFill="1" applyBorder="1" applyAlignment="1" applyProtection="1">
      <alignment horizontal="left" vertical="center"/>
      <protection locked="0"/>
    </xf>
    <xf numFmtId="0" fontId="17" fillId="3" borderId="22" xfId="0" applyFont="1" applyFill="1" applyBorder="1" applyAlignment="1" applyProtection="1">
      <alignment horizontal="center" vertical="center"/>
      <protection locked="0"/>
    </xf>
    <xf numFmtId="0" fontId="27" fillId="5" borderId="8" xfId="0" applyFont="1" applyFill="1" applyBorder="1" applyAlignment="1" applyProtection="1">
      <alignment horizontal="left" vertical="center"/>
      <protection locked="0"/>
    </xf>
    <xf numFmtId="0" fontId="27" fillId="5" borderId="7" xfId="0" applyFont="1" applyFill="1" applyBorder="1" applyAlignment="1" applyProtection="1">
      <alignment horizontal="left" vertical="center"/>
      <protection locked="0"/>
    </xf>
    <xf numFmtId="0" fontId="27" fillId="5" borderId="6" xfId="0" applyFont="1" applyFill="1" applyBorder="1" applyAlignment="1" applyProtection="1">
      <alignment horizontal="left" vertical="center"/>
      <protection locked="0"/>
    </xf>
    <xf numFmtId="0" fontId="17" fillId="2" borderId="34" xfId="0" applyFont="1" applyFill="1" applyBorder="1" applyAlignment="1" applyProtection="1">
      <alignment horizontal="center" vertical="center"/>
      <protection locked="0"/>
    </xf>
    <xf numFmtId="0" fontId="17" fillId="2" borderId="9" xfId="0" applyFont="1" applyFill="1" applyBorder="1" applyAlignment="1" applyProtection="1">
      <alignment horizontal="center" vertical="center"/>
      <protection locked="0"/>
    </xf>
    <xf numFmtId="0" fontId="17" fillId="2" borderId="35" xfId="0" applyFont="1" applyFill="1" applyBorder="1" applyAlignment="1" applyProtection="1">
      <alignment horizontal="center" vertical="center"/>
      <protection locked="0"/>
    </xf>
    <xf numFmtId="0" fontId="17" fillId="2" borderId="36" xfId="0" applyFont="1" applyFill="1" applyBorder="1" applyAlignment="1" applyProtection="1">
      <alignment horizontal="center" vertical="center"/>
      <protection locked="0"/>
    </xf>
    <xf numFmtId="0" fontId="17" fillId="2" borderId="37" xfId="0" applyFont="1" applyFill="1" applyBorder="1" applyAlignment="1" applyProtection="1">
      <alignment horizontal="center" vertical="center"/>
      <protection locked="0"/>
    </xf>
    <xf numFmtId="0" fontId="17" fillId="2" borderId="38" xfId="0" applyFont="1" applyFill="1" applyBorder="1" applyAlignment="1" applyProtection="1">
      <alignment horizontal="center" vertical="center"/>
      <protection locked="0"/>
    </xf>
    <xf numFmtId="0" fontId="17" fillId="2" borderId="0" xfId="0" applyFont="1" applyFill="1" applyProtection="1">
      <protection locked="0"/>
    </xf>
    <xf numFmtId="0" fontId="17" fillId="0" borderId="0" xfId="0" applyFont="1" applyAlignment="1" applyProtection="1">
      <alignment horizontal="left" vertical="top" wrapText="1"/>
      <protection locked="0"/>
    </xf>
    <xf numFmtId="0" fontId="18" fillId="2" borderId="0" xfId="0" applyFont="1" applyFill="1" applyAlignment="1" applyProtection="1">
      <alignment horizontal="left"/>
      <protection locked="0"/>
    </xf>
    <xf numFmtId="0" fontId="17" fillId="2" borderId="0" xfId="0" applyFont="1" applyFill="1" applyAlignment="1" applyProtection="1">
      <alignment horizontal="left" vertical="center"/>
      <protection locked="0"/>
    </xf>
    <xf numFmtId="14" fontId="17" fillId="3" borderId="22" xfId="0" applyNumberFormat="1" applyFont="1" applyFill="1" applyBorder="1" applyAlignment="1" applyProtection="1">
      <alignment horizontal="center" vertical="center"/>
      <protection locked="0"/>
    </xf>
    <xf numFmtId="0" fontId="19" fillId="0" borderId="0" xfId="0" applyFont="1" applyAlignment="1" applyProtection="1">
      <alignment horizontal="left" vertical="center"/>
      <protection locked="0"/>
    </xf>
    <xf numFmtId="0" fontId="17" fillId="2" borderId="0" xfId="0" applyFont="1" applyFill="1" applyAlignment="1" applyProtection="1">
      <alignment horizontal="left" vertical="top" wrapText="1"/>
      <protection locked="0"/>
    </xf>
    <xf numFmtId="168" fontId="17" fillId="2" borderId="22" xfId="3" applyNumberFormat="1" applyFont="1" applyFill="1" applyBorder="1" applyAlignment="1" applyProtection="1">
      <alignment horizontal="left" vertical="center"/>
      <protection locked="0"/>
    </xf>
    <xf numFmtId="0" fontId="17" fillId="3" borderId="0" xfId="0" applyFont="1" applyFill="1" applyAlignment="1" applyProtection="1">
      <alignment horizontal="center" vertical="center" wrapText="1"/>
      <protection locked="0"/>
    </xf>
    <xf numFmtId="0" fontId="19" fillId="2" borderId="0" xfId="0" applyFont="1" applyFill="1" applyProtection="1">
      <protection locked="0"/>
    </xf>
    <xf numFmtId="0" fontId="19" fillId="0" borderId="0" xfId="0" applyFont="1" applyProtection="1">
      <protection locked="0"/>
    </xf>
    <xf numFmtId="0" fontId="17" fillId="3" borderId="9" xfId="0" applyFont="1" applyFill="1" applyBorder="1" applyAlignment="1" applyProtection="1">
      <alignment horizontal="center"/>
      <protection locked="0"/>
    </xf>
    <xf numFmtId="0" fontId="27" fillId="5" borderId="42" xfId="0" applyFont="1" applyFill="1" applyBorder="1" applyAlignment="1" applyProtection="1">
      <alignment horizontal="center" vertical="center"/>
      <protection locked="0"/>
    </xf>
    <xf numFmtId="0" fontId="27" fillId="5" borderId="43" xfId="0" applyFont="1" applyFill="1" applyBorder="1" applyAlignment="1" applyProtection="1">
      <alignment horizontal="center" vertical="center"/>
      <protection locked="0"/>
    </xf>
    <xf numFmtId="14" fontId="17" fillId="2" borderId="22" xfId="0" applyNumberFormat="1" applyFont="1" applyFill="1" applyBorder="1" applyAlignment="1" applyProtection="1">
      <alignment horizontal="center" vertical="center" wrapText="1"/>
      <protection locked="0"/>
    </xf>
    <xf numFmtId="0" fontId="21" fillId="2" borderId="23" xfId="0" applyFont="1" applyFill="1" applyBorder="1" applyAlignment="1" applyProtection="1">
      <alignment horizontal="center" vertical="center" wrapText="1"/>
      <protection locked="0"/>
    </xf>
    <xf numFmtId="0" fontId="52" fillId="0" borderId="22" xfId="0" applyFont="1" applyBorder="1" applyAlignment="1" applyProtection="1">
      <alignment horizontal="center" wrapText="1"/>
      <protection locked="0"/>
    </xf>
    <xf numFmtId="0" fontId="1" fillId="0" borderId="0" xfId="0" applyFont="1" applyAlignment="1" applyProtection="1">
      <alignment horizontal="left" vertical="center"/>
      <protection locked="0"/>
    </xf>
    <xf numFmtId="0" fontId="17" fillId="0" borderId="0" xfId="0" applyFont="1" applyAlignment="1" applyProtection="1">
      <alignment horizontal="left" vertical="center"/>
      <protection locked="0"/>
    </xf>
    <xf numFmtId="0" fontId="17" fillId="3" borderId="26" xfId="0" applyFont="1" applyFill="1" applyBorder="1" applyAlignment="1" applyProtection="1">
      <alignment horizontal="center" vertical="center"/>
      <protection locked="0"/>
    </xf>
    <xf numFmtId="0" fontId="13" fillId="3" borderId="0" xfId="1" applyFill="1" applyAlignment="1" applyProtection="1">
      <alignment horizontal="center" vertical="center"/>
      <protection locked="0"/>
    </xf>
    <xf numFmtId="0" fontId="39" fillId="3" borderId="0" xfId="1" applyFont="1" applyFill="1" applyAlignment="1" applyProtection="1">
      <alignment horizontal="center" vertical="center"/>
      <protection locked="0"/>
    </xf>
    <xf numFmtId="0" fontId="17" fillId="0" borderId="22" xfId="0" applyFont="1" applyBorder="1" applyAlignment="1" applyProtection="1">
      <alignment horizontal="center" vertical="center" wrapText="1"/>
      <protection locked="0"/>
    </xf>
    <xf numFmtId="0" fontId="19" fillId="0" borderId="0" xfId="0" applyFont="1" applyAlignment="1" applyProtection="1">
      <alignment horizontal="center" vertical="center"/>
      <protection locked="0"/>
    </xf>
    <xf numFmtId="0" fontId="27" fillId="5" borderId="33" xfId="0" applyFont="1" applyFill="1" applyBorder="1" applyAlignment="1" applyProtection="1">
      <alignment horizontal="center" vertical="center"/>
      <protection locked="0"/>
    </xf>
    <xf numFmtId="0" fontId="27" fillId="5" borderId="39" xfId="0" applyFont="1" applyFill="1" applyBorder="1" applyAlignment="1" applyProtection="1">
      <alignment horizontal="center" vertical="center"/>
      <protection locked="0"/>
    </xf>
    <xf numFmtId="0" fontId="27" fillId="5" borderId="40" xfId="0" applyFont="1" applyFill="1" applyBorder="1" applyAlignment="1" applyProtection="1">
      <alignment horizontal="center" vertical="center"/>
      <protection locked="0"/>
    </xf>
    <xf numFmtId="0" fontId="44" fillId="0" borderId="0" xfId="0" applyFont="1" applyAlignment="1" applyProtection="1">
      <alignment horizontal="center" vertical="center"/>
      <protection locked="0"/>
    </xf>
    <xf numFmtId="0" fontId="33" fillId="0" borderId="0" xfId="0" applyFont="1" applyAlignment="1">
      <alignment horizontal="left" vertical="center"/>
    </xf>
    <xf numFmtId="167" fontId="0" fillId="0" borderId="0" xfId="0" applyNumberFormat="1" applyAlignment="1">
      <alignment horizontal="center"/>
    </xf>
    <xf numFmtId="49" fontId="0" fillId="0" borderId="0" xfId="0" applyNumberFormat="1" applyAlignment="1">
      <alignment horizontal="center"/>
    </xf>
    <xf numFmtId="0" fontId="0" fillId="0" borderId="0" xfId="0" applyAlignment="1">
      <alignment horizontal="center"/>
    </xf>
    <xf numFmtId="0" fontId="38" fillId="5" borderId="9" xfId="0" applyFont="1" applyFill="1" applyBorder="1" applyAlignment="1">
      <alignment horizontal="center" vertical="center" textRotation="90" wrapText="1"/>
    </xf>
    <xf numFmtId="0" fontId="0" fillId="8" borderId="9" xfId="0" applyFill="1" applyBorder="1" applyAlignment="1">
      <alignment horizontal="center"/>
    </xf>
    <xf numFmtId="0" fontId="32" fillId="7" borderId="9" xfId="0" applyFont="1" applyFill="1" applyBorder="1" applyAlignment="1">
      <alignment horizontal="left" vertical="center"/>
    </xf>
    <xf numFmtId="0" fontId="41" fillId="0" borderId="0" xfId="1" applyFont="1" applyAlignment="1">
      <alignment horizontal="center" vertical="center"/>
    </xf>
    <xf numFmtId="0" fontId="18" fillId="0" borderId="0" xfId="0" applyFont="1" applyAlignment="1">
      <alignment horizontal="center" vertical="center"/>
    </xf>
    <xf numFmtId="1" fontId="0" fillId="0" borderId="0" xfId="0" applyNumberFormat="1" applyAlignment="1">
      <alignment horizontal="center"/>
    </xf>
    <xf numFmtId="0" fontId="33" fillId="0" borderId="0" xfId="0" applyFont="1" applyAlignment="1">
      <alignment horizontal="center" vertical="center"/>
    </xf>
    <xf numFmtId="0" fontId="33" fillId="5" borderId="9" xfId="0" applyFont="1" applyFill="1" applyBorder="1" applyAlignment="1">
      <alignment horizontal="left" vertical="center"/>
    </xf>
    <xf numFmtId="0" fontId="0" fillId="8" borderId="9" xfId="0" applyFill="1" applyBorder="1" applyAlignment="1">
      <alignment horizontal="center" vertical="center"/>
    </xf>
    <xf numFmtId="0" fontId="33" fillId="5" borderId="9" xfId="0" applyFont="1" applyFill="1" applyBorder="1" applyAlignment="1">
      <alignment horizontal="center" vertical="center"/>
    </xf>
    <xf numFmtId="0" fontId="33" fillId="5" borderId="19" xfId="0" applyFont="1" applyFill="1" applyBorder="1" applyAlignment="1">
      <alignment horizontal="center" vertical="center"/>
    </xf>
    <xf numFmtId="0" fontId="0" fillId="0" borderId="19" xfId="0" applyBorder="1" applyAlignment="1">
      <alignment horizontal="center" vertical="center"/>
    </xf>
    <xf numFmtId="0" fontId="0" fillId="0" borderId="20" xfId="0" applyBorder="1" applyAlignment="1">
      <alignment horizontal="center" vertical="center"/>
    </xf>
    <xf numFmtId="0" fontId="0" fillId="0" borderId="18" xfId="0" applyBorder="1" applyAlignment="1">
      <alignment horizontal="center" vertical="center"/>
    </xf>
    <xf numFmtId="0" fontId="0" fillId="8" borderId="19" xfId="0" applyFill="1" applyBorder="1" applyAlignment="1">
      <alignment horizontal="center" vertical="center"/>
    </xf>
    <xf numFmtId="0" fontId="0" fillId="8" borderId="18" xfId="0" applyFill="1" applyBorder="1" applyAlignment="1">
      <alignment horizontal="center" vertical="center"/>
    </xf>
    <xf numFmtId="0" fontId="0" fillId="8" borderId="9" xfId="0" applyFill="1" applyBorder="1" applyAlignment="1">
      <alignment horizontal="left" vertical="center"/>
    </xf>
    <xf numFmtId="0" fontId="0" fillId="0" borderId="0" xfId="0" applyAlignment="1">
      <alignment horizontal="left"/>
    </xf>
    <xf numFmtId="0" fontId="41" fillId="0" borderId="0" xfId="1" applyFont="1" applyAlignment="1">
      <alignment horizontal="center"/>
    </xf>
    <xf numFmtId="0" fontId="31" fillId="7" borderId="19" xfId="0" applyFont="1" applyFill="1" applyBorder="1" applyAlignment="1">
      <alignment horizontal="left" vertical="center"/>
    </xf>
    <xf numFmtId="0" fontId="31" fillId="7" borderId="20" xfId="0" applyFont="1" applyFill="1" applyBorder="1" applyAlignment="1">
      <alignment horizontal="left" vertical="center"/>
    </xf>
    <xf numFmtId="0" fontId="31" fillId="7" borderId="18" xfId="0" applyFont="1" applyFill="1" applyBorder="1" applyAlignment="1">
      <alignment horizontal="left" vertical="center"/>
    </xf>
    <xf numFmtId="0" fontId="0" fillId="8" borderId="19" xfId="0" applyFill="1" applyBorder="1" applyAlignment="1">
      <alignment horizontal="center"/>
    </xf>
    <xf numFmtId="0" fontId="0" fillId="8" borderId="18" xfId="0" applyFill="1" applyBorder="1" applyAlignment="1">
      <alignment horizontal="center"/>
    </xf>
    <xf numFmtId="0" fontId="5" fillId="0" borderId="0" xfId="0" applyFont="1" applyAlignment="1">
      <alignment horizontal="center" vertical="center"/>
    </xf>
    <xf numFmtId="0" fontId="33" fillId="5" borderId="19" xfId="0" applyFont="1" applyFill="1" applyBorder="1" applyAlignment="1">
      <alignment horizontal="center" vertical="center" wrapText="1"/>
    </xf>
    <xf numFmtId="0" fontId="33" fillId="5" borderId="20" xfId="0" applyFont="1" applyFill="1" applyBorder="1" applyAlignment="1">
      <alignment horizontal="center" vertical="center" wrapText="1"/>
    </xf>
    <xf numFmtId="0" fontId="33" fillId="5" borderId="18" xfId="0" applyFont="1" applyFill="1" applyBorder="1" applyAlignment="1">
      <alignment horizontal="center" vertical="center" wrapText="1"/>
    </xf>
    <xf numFmtId="0" fontId="0" fillId="8" borderId="20" xfId="0" applyFill="1" applyBorder="1" applyAlignment="1">
      <alignment horizontal="center" vertical="center"/>
    </xf>
    <xf numFmtId="0" fontId="0" fillId="8" borderId="20" xfId="0" applyFill="1" applyBorder="1" applyAlignment="1">
      <alignment horizontal="center"/>
    </xf>
    <xf numFmtId="0" fontId="32" fillId="7" borderId="19" xfId="0" applyFont="1" applyFill="1" applyBorder="1" applyAlignment="1">
      <alignment horizontal="left" vertical="center"/>
    </xf>
    <xf numFmtId="0" fontId="32" fillId="7" borderId="20" xfId="0" applyFont="1" applyFill="1" applyBorder="1" applyAlignment="1">
      <alignment horizontal="left" vertical="center"/>
    </xf>
    <xf numFmtId="0" fontId="32" fillId="7" borderId="18" xfId="0" applyFont="1" applyFill="1" applyBorder="1" applyAlignment="1">
      <alignment horizontal="left" vertical="center"/>
    </xf>
    <xf numFmtId="0" fontId="0" fillId="0" borderId="9" xfId="0" applyBorder="1" applyAlignment="1">
      <alignment horizontal="center" vertical="center"/>
    </xf>
    <xf numFmtId="0" fontId="0" fillId="0" borderId="0" xfId="0" applyAlignment="1">
      <alignment horizontal="center" vertical="center"/>
    </xf>
    <xf numFmtId="0" fontId="33" fillId="5" borderId="8" xfId="0" applyFont="1" applyFill="1" applyBorder="1" applyAlignment="1">
      <alignment horizontal="center" vertical="center" textRotation="90"/>
    </xf>
    <xf numFmtId="0" fontId="33" fillId="5" borderId="5" xfId="0" applyFont="1" applyFill="1" applyBorder="1" applyAlignment="1">
      <alignment horizontal="center" vertical="center" textRotation="90"/>
    </xf>
    <xf numFmtId="0" fontId="33" fillId="5" borderId="31" xfId="0" applyFont="1" applyFill="1" applyBorder="1" applyAlignment="1">
      <alignment horizontal="center" vertical="center" textRotation="90"/>
    </xf>
    <xf numFmtId="0" fontId="32" fillId="7" borderId="19" xfId="0" applyFont="1" applyFill="1" applyBorder="1" applyAlignment="1">
      <alignment horizontal="left" vertical="center" wrapText="1"/>
    </xf>
    <xf numFmtId="0" fontId="32" fillId="7" borderId="20" xfId="0" applyFont="1" applyFill="1" applyBorder="1" applyAlignment="1">
      <alignment horizontal="left" vertical="center" wrapText="1"/>
    </xf>
    <xf numFmtId="0" fontId="32" fillId="7" borderId="18" xfId="0" applyFont="1" applyFill="1" applyBorder="1" applyAlignment="1">
      <alignment horizontal="left" vertical="center" wrapText="1"/>
    </xf>
    <xf numFmtId="0" fontId="31" fillId="0" borderId="9" xfId="0" applyFont="1" applyBorder="1" applyAlignment="1">
      <alignment horizontal="center" vertical="center" wrapText="1"/>
    </xf>
    <xf numFmtId="0" fontId="0" fillId="8" borderId="9" xfId="0" applyFill="1" applyBorder="1" applyAlignment="1">
      <alignment horizontal="left" vertical="center" wrapText="1"/>
    </xf>
    <xf numFmtId="0" fontId="8" fillId="0" borderId="19" xfId="0" applyFont="1" applyBorder="1" applyAlignment="1">
      <alignment horizontal="center" vertical="center"/>
    </xf>
    <xf numFmtId="0" fontId="8" fillId="0" borderId="18" xfId="0" applyFont="1" applyBorder="1" applyAlignment="1">
      <alignment horizontal="center" vertical="center"/>
    </xf>
    <xf numFmtId="0" fontId="33" fillId="5" borderId="21" xfId="0" applyFont="1" applyFill="1" applyBorder="1" applyAlignment="1">
      <alignment horizontal="center" vertical="center"/>
    </xf>
    <xf numFmtId="0" fontId="0" fillId="2" borderId="9" xfId="0" applyFill="1" applyBorder="1" applyAlignment="1">
      <alignment horizontal="center" vertical="center"/>
    </xf>
    <xf numFmtId="0" fontId="15" fillId="0" borderId="7" xfId="0" applyFont="1" applyBorder="1" applyAlignment="1">
      <alignment horizontal="center"/>
    </xf>
    <xf numFmtId="0" fontId="15" fillId="0" borderId="6" xfId="0" applyFont="1" applyBorder="1" applyAlignment="1">
      <alignment horizontal="center"/>
    </xf>
    <xf numFmtId="0" fontId="0" fillId="0" borderId="3" xfId="0" applyBorder="1" applyAlignment="1">
      <alignment horizontal="left" wrapText="1"/>
    </xf>
    <xf numFmtId="0" fontId="0" fillId="0" borderId="2" xfId="0" applyBorder="1" applyAlignment="1">
      <alignment horizontal="left"/>
    </xf>
    <xf numFmtId="0" fontId="0" fillId="0" borderId="2" xfId="0" applyBorder="1" applyAlignment="1">
      <alignment horizontal="right"/>
    </xf>
    <xf numFmtId="0" fontId="0" fillId="0" borderId="1" xfId="0" applyBorder="1" applyAlignment="1">
      <alignment horizontal="right"/>
    </xf>
    <xf numFmtId="0" fontId="0" fillId="0" borderId="0" xfId="0" applyAlignment="1">
      <alignment horizontal="left" vertical="center"/>
    </xf>
    <xf numFmtId="0" fontId="0" fillId="0" borderId="0" xfId="0" applyAlignment="1">
      <alignment horizontal="right"/>
    </xf>
    <xf numFmtId="0" fontId="31" fillId="8" borderId="9" xfId="0" applyFont="1" applyFill="1" applyBorder="1" applyAlignment="1">
      <alignment horizontal="center" vertical="center" wrapText="1"/>
    </xf>
    <xf numFmtId="0" fontId="31" fillId="8" borderId="19" xfId="0" applyFont="1" applyFill="1" applyBorder="1" applyAlignment="1">
      <alignment horizontal="center" vertical="center" wrapText="1"/>
    </xf>
    <xf numFmtId="0" fontId="31" fillId="8" borderId="20" xfId="0" applyFont="1" applyFill="1" applyBorder="1" applyAlignment="1">
      <alignment horizontal="center" vertical="center" wrapText="1"/>
    </xf>
    <xf numFmtId="0" fontId="31" fillId="8" borderId="18" xfId="0" applyFont="1" applyFill="1" applyBorder="1" applyAlignment="1">
      <alignment horizontal="center" vertical="center" wrapText="1"/>
    </xf>
    <xf numFmtId="0" fontId="31" fillId="2" borderId="9" xfId="0" applyFont="1" applyFill="1" applyBorder="1" applyAlignment="1">
      <alignment horizontal="center" vertical="center" wrapText="1"/>
    </xf>
    <xf numFmtId="0" fontId="5" fillId="0" borderId="0" xfId="0" applyFont="1" applyAlignment="1">
      <alignment horizontal="left" vertical="top" wrapText="1"/>
    </xf>
    <xf numFmtId="0" fontId="15" fillId="0" borderId="8" xfId="0" applyFont="1" applyBorder="1" applyAlignment="1">
      <alignment horizontal="center"/>
    </xf>
    <xf numFmtId="0" fontId="12" fillId="6" borderId="8" xfId="0" applyFont="1" applyFill="1" applyBorder="1" applyAlignment="1">
      <alignment horizontal="center" vertical="center"/>
    </xf>
    <xf numFmtId="0" fontId="12" fillId="6" borderId="7" xfId="0" applyFont="1" applyFill="1" applyBorder="1" applyAlignment="1">
      <alignment horizontal="center" vertical="center"/>
    </xf>
    <xf numFmtId="0" fontId="12" fillId="6" borderId="6" xfId="0" applyFont="1" applyFill="1" applyBorder="1" applyAlignment="1">
      <alignment horizontal="center" vertical="center"/>
    </xf>
    <xf numFmtId="0" fontId="12" fillId="6" borderId="3" xfId="0" applyFont="1" applyFill="1" applyBorder="1" applyAlignment="1">
      <alignment horizontal="center" vertical="center"/>
    </xf>
    <xf numFmtId="0" fontId="12" fillId="6" borderId="2" xfId="0" applyFont="1" applyFill="1" applyBorder="1" applyAlignment="1">
      <alignment horizontal="center" vertical="center"/>
    </xf>
    <xf numFmtId="0" fontId="12" fillId="6" borderId="1" xfId="0" applyFont="1" applyFill="1" applyBorder="1" applyAlignment="1">
      <alignment horizontal="center" vertical="center"/>
    </xf>
    <xf numFmtId="0" fontId="33" fillId="5" borderId="32" xfId="0" applyFont="1" applyFill="1" applyBorder="1" applyAlignment="1">
      <alignment horizontal="center" vertical="center" textRotation="90"/>
    </xf>
    <xf numFmtId="0" fontId="33" fillId="5" borderId="20" xfId="0" applyFont="1" applyFill="1" applyBorder="1" applyAlignment="1">
      <alignment horizontal="center" vertical="center"/>
    </xf>
    <xf numFmtId="0" fontId="33" fillId="5" borderId="18" xfId="0" applyFont="1" applyFill="1" applyBorder="1" applyAlignment="1">
      <alignment horizontal="center" vertical="center"/>
    </xf>
    <xf numFmtId="0" fontId="31" fillId="8" borderId="9" xfId="0" applyFont="1" applyFill="1" applyBorder="1" applyAlignment="1">
      <alignment horizontal="left" vertical="center" wrapText="1"/>
    </xf>
    <xf numFmtId="0" fontId="0" fillId="2" borderId="0" xfId="0" applyFill="1" applyAlignment="1">
      <alignment vertical="center"/>
    </xf>
    <xf numFmtId="0" fontId="12" fillId="5" borderId="0" xfId="0" applyFont="1" applyFill="1" applyAlignment="1">
      <alignment horizontal="center" vertical="center" wrapText="1"/>
    </xf>
    <xf numFmtId="0" fontId="36" fillId="9" borderId="0" xfId="0" applyFont="1" applyFill="1" applyAlignment="1">
      <alignment horizontal="center" wrapText="1"/>
    </xf>
    <xf numFmtId="0" fontId="15" fillId="2" borderId="0" xfId="0" applyFont="1" applyFill="1" applyAlignment="1">
      <alignment horizontal="center" vertical="center"/>
    </xf>
    <xf numFmtId="0" fontId="15" fillId="2" borderId="0" xfId="0" applyFont="1" applyFill="1" applyAlignment="1">
      <alignment vertical="center"/>
    </xf>
    <xf numFmtId="0" fontId="0" fillId="0" borderId="0" xfId="0" applyAlignment="1">
      <alignment vertical="center"/>
    </xf>
    <xf numFmtId="0" fontId="18" fillId="2" borderId="0" xfId="0" applyFont="1" applyFill="1" applyProtection="1"/>
    <xf numFmtId="0" fontId="36" fillId="2" borderId="0" xfId="0" applyFont="1" applyFill="1" applyAlignment="1" applyProtection="1">
      <alignment horizontal="center"/>
    </xf>
    <xf numFmtId="0" fontId="17" fillId="2" borderId="0" xfId="0" applyFont="1" applyFill="1" applyProtection="1"/>
    <xf numFmtId="0" fontId="17" fillId="3" borderId="9" xfId="0" applyFont="1" applyFill="1" applyBorder="1" applyProtection="1"/>
    <xf numFmtId="0" fontId="36" fillId="2" borderId="0" xfId="0" applyFont="1" applyFill="1" applyProtection="1"/>
    <xf numFmtId="0" fontId="27" fillId="5" borderId="0" xfId="0" applyFont="1" applyFill="1" applyAlignment="1" applyProtection="1">
      <alignment horizontal="left" vertical="center"/>
    </xf>
    <xf numFmtId="0" fontId="25" fillId="0" borderId="0" xfId="0" applyFont="1" applyAlignment="1" applyProtection="1">
      <alignment horizontal="left" indent="5" readingOrder="1"/>
      <protection locked="0"/>
    </xf>
    <xf numFmtId="0" fontId="26" fillId="0" borderId="0" xfId="0" applyFont="1" applyAlignment="1" applyProtection="1">
      <alignment horizontal="left" indent="5" readingOrder="1"/>
      <protection locked="0"/>
    </xf>
    <xf numFmtId="49" fontId="17" fillId="2" borderId="22" xfId="0" applyNumberFormat="1" applyFont="1" applyFill="1" applyBorder="1" applyAlignment="1" applyProtection="1">
      <alignment vertical="center" wrapText="1"/>
      <protection locked="0"/>
    </xf>
    <xf numFmtId="0" fontId="17" fillId="2" borderId="22" xfId="0" applyFont="1" applyFill="1" applyBorder="1" applyAlignment="1" applyProtection="1">
      <alignment vertical="center" wrapText="1"/>
      <protection locked="0"/>
    </xf>
    <xf numFmtId="1" fontId="17" fillId="2" borderId="22" xfId="0" applyNumberFormat="1" applyFont="1" applyFill="1" applyBorder="1" applyAlignment="1" applyProtection="1">
      <alignment horizontal="left" vertical="center" wrapText="1"/>
      <protection locked="0"/>
    </xf>
    <xf numFmtId="0" fontId="17" fillId="2" borderId="0" xfId="0" applyFont="1" applyFill="1" applyAlignment="1" applyProtection="1">
      <alignment horizontal="center" vertical="center" wrapText="1"/>
      <protection locked="0"/>
    </xf>
    <xf numFmtId="0" fontId="17" fillId="0" borderId="22" xfId="0" applyFont="1" applyBorder="1" applyAlignment="1" applyProtection="1">
      <alignment horizontal="left" vertical="center" wrapText="1"/>
      <protection locked="0"/>
    </xf>
    <xf numFmtId="0" fontId="2" fillId="0" borderId="0" xfId="0" applyFont="1" applyAlignment="1" applyProtection="1">
      <alignment horizontal="left" vertical="center"/>
      <protection locked="0"/>
    </xf>
    <xf numFmtId="0" fontId="40" fillId="3" borderId="0" xfId="1" applyFont="1" applyFill="1" applyAlignment="1" applyProtection="1">
      <alignment horizontal="center" vertical="center"/>
      <protection locked="0"/>
    </xf>
    <xf numFmtId="0" fontId="19" fillId="2" borderId="0" xfId="0" applyFont="1" applyFill="1" applyAlignment="1" applyProtection="1">
      <alignment horizontal="center"/>
      <protection locked="0"/>
    </xf>
    <xf numFmtId="0" fontId="20" fillId="2" borderId="0" xfId="0" applyFont="1" applyFill="1" applyProtection="1">
      <protection locked="0"/>
    </xf>
    <xf numFmtId="0" fontId="19" fillId="2" borderId="30" xfId="0" applyFont="1" applyFill="1" applyBorder="1" applyAlignment="1" applyProtection="1">
      <alignment horizontal="left" vertical="center"/>
      <protection locked="0"/>
    </xf>
    <xf numFmtId="0" fontId="17" fillId="3" borderId="25" xfId="0" applyFont="1" applyFill="1" applyBorder="1" applyAlignment="1" applyProtection="1">
      <alignment horizontal="center" vertical="center"/>
      <protection locked="0"/>
    </xf>
    <xf numFmtId="0" fontId="17" fillId="2" borderId="0" xfId="0" applyFont="1" applyFill="1" applyAlignment="1" applyProtection="1">
      <alignment horizontal="center" vertical="center"/>
      <protection locked="0"/>
    </xf>
    <xf numFmtId="0" fontId="24" fillId="0" borderId="0" xfId="0" applyFont="1" applyProtection="1">
      <protection locked="0"/>
    </xf>
    <xf numFmtId="0" fontId="17" fillId="2" borderId="0" xfId="0" applyFont="1" applyFill="1" applyAlignment="1" applyProtection="1">
      <alignment horizontal="center"/>
      <protection locked="0"/>
    </xf>
    <xf numFmtId="0" fontId="17" fillId="3" borderId="22" xfId="0" applyFont="1" applyFill="1" applyBorder="1" applyAlignment="1" applyProtection="1">
      <alignment horizontal="center"/>
      <protection locked="0"/>
    </xf>
    <xf numFmtId="0" fontId="17" fillId="2" borderId="22" xfId="0" applyFont="1" applyFill="1" applyBorder="1" applyAlignment="1" applyProtection="1">
      <alignment horizontal="center"/>
      <protection locked="0"/>
    </xf>
    <xf numFmtId="0" fontId="17" fillId="2" borderId="28" xfId="0" applyFont="1" applyFill="1" applyBorder="1" applyAlignment="1" applyProtection="1">
      <alignment horizontal="center"/>
      <protection locked="0"/>
    </xf>
    <xf numFmtId="0" fontId="17" fillId="3" borderId="28" xfId="0" applyFont="1" applyFill="1" applyBorder="1" applyAlignment="1" applyProtection="1">
      <alignment horizontal="center"/>
      <protection locked="0"/>
    </xf>
    <xf numFmtId="0" fontId="17" fillId="0" borderId="22" xfId="0" applyFont="1" applyBorder="1" applyAlignment="1" applyProtection="1">
      <alignment horizontal="center"/>
      <protection locked="0"/>
    </xf>
    <xf numFmtId="0" fontId="17" fillId="0" borderId="0" xfId="0" applyFont="1" applyAlignment="1" applyProtection="1">
      <alignment horizontal="center"/>
      <protection locked="0"/>
    </xf>
    <xf numFmtId="0" fontId="20" fillId="2" borderId="0" xfId="0" applyFont="1" applyFill="1" applyAlignment="1" applyProtection="1">
      <alignment horizontal="center" vertical="center" wrapText="1"/>
      <protection locked="0"/>
    </xf>
    <xf numFmtId="0" fontId="20" fillId="2" borderId="0" xfId="0" applyFont="1" applyFill="1" applyAlignment="1" applyProtection="1">
      <alignment vertical="center"/>
      <protection locked="0"/>
    </xf>
    <xf numFmtId="0" fontId="18" fillId="2" borderId="0" xfId="0" applyFont="1" applyFill="1" applyAlignment="1" applyProtection="1">
      <alignment horizontal="center"/>
      <protection locked="0"/>
    </xf>
    <xf numFmtId="0" fontId="17" fillId="0" borderId="28" xfId="0" applyFont="1" applyBorder="1" applyAlignment="1" applyProtection="1">
      <alignment horizontal="center"/>
      <protection locked="0"/>
    </xf>
    <xf numFmtId="0" fontId="27" fillId="5" borderId="33" xfId="0" applyFont="1" applyFill="1" applyBorder="1" applyAlignment="1" applyProtection="1">
      <alignment horizontal="left" vertical="center"/>
      <protection locked="0"/>
    </xf>
    <xf numFmtId="0" fontId="27" fillId="5" borderId="39" xfId="0" applyFont="1" applyFill="1" applyBorder="1" applyAlignment="1" applyProtection="1">
      <alignment horizontal="left" vertical="center"/>
      <protection locked="0"/>
    </xf>
    <xf numFmtId="0" fontId="27" fillId="5" borderId="40" xfId="0" applyFont="1" applyFill="1" applyBorder="1" applyAlignment="1" applyProtection="1">
      <alignment horizontal="left" vertical="center"/>
      <protection locked="0"/>
    </xf>
    <xf numFmtId="0" fontId="22" fillId="2" borderId="8" xfId="0" applyFont="1" applyFill="1" applyBorder="1" applyAlignment="1" applyProtection="1">
      <alignment horizontal="center" vertical="top"/>
      <protection locked="0"/>
    </xf>
    <xf numFmtId="0" fontId="22" fillId="2" borderId="7" xfId="0" applyFont="1" applyFill="1" applyBorder="1" applyAlignment="1" applyProtection="1">
      <alignment horizontal="center" vertical="top"/>
      <protection locked="0"/>
    </xf>
    <xf numFmtId="0" fontId="22" fillId="2" borderId="6" xfId="0" applyFont="1" applyFill="1" applyBorder="1" applyAlignment="1" applyProtection="1">
      <alignment horizontal="center" vertical="top"/>
      <protection locked="0"/>
    </xf>
    <xf numFmtId="0" fontId="22" fillId="2" borderId="5" xfId="0" applyFont="1" applyFill="1" applyBorder="1" applyAlignment="1" applyProtection="1">
      <alignment horizontal="center" vertical="top"/>
      <protection locked="0"/>
    </xf>
    <xf numFmtId="0" fontId="22" fillId="2" borderId="0" xfId="0" applyFont="1" applyFill="1" applyAlignment="1" applyProtection="1">
      <alignment horizontal="center" vertical="top"/>
      <protection locked="0"/>
    </xf>
    <xf numFmtId="0" fontId="22" fillId="2" borderId="4" xfId="0" applyFont="1" applyFill="1" applyBorder="1" applyAlignment="1" applyProtection="1">
      <alignment horizontal="center" vertical="top"/>
      <protection locked="0"/>
    </xf>
    <xf numFmtId="0" fontId="22" fillId="2" borderId="3" xfId="0" applyFont="1" applyFill="1" applyBorder="1" applyAlignment="1" applyProtection="1">
      <alignment horizontal="center" vertical="top"/>
      <protection locked="0"/>
    </xf>
    <xf numFmtId="0" fontId="22" fillId="2" borderId="2" xfId="0" applyFont="1" applyFill="1" applyBorder="1" applyAlignment="1" applyProtection="1">
      <alignment horizontal="center" vertical="top"/>
      <protection locked="0"/>
    </xf>
    <xf numFmtId="0" fontId="22" fillId="2" borderId="1" xfId="0" applyFont="1" applyFill="1" applyBorder="1" applyAlignment="1" applyProtection="1">
      <alignment horizontal="center" vertical="top"/>
      <protection locked="0"/>
    </xf>
    <xf numFmtId="0" fontId="17" fillId="3" borderId="0" xfId="0" applyFont="1" applyFill="1" applyAlignment="1" applyProtection="1">
      <alignment horizontal="center" vertical="center"/>
      <protection locked="0"/>
    </xf>
    <xf numFmtId="0" fontId="17" fillId="3" borderId="0" xfId="0" applyFont="1" applyFill="1" applyAlignment="1" applyProtection="1">
      <alignment horizontal="left" vertical="center"/>
      <protection locked="0"/>
    </xf>
    <xf numFmtId="0" fontId="22" fillId="2" borderId="24" xfId="0" applyFont="1" applyFill="1" applyBorder="1" applyAlignment="1" applyProtection="1">
      <alignment vertical="top"/>
      <protection locked="0"/>
    </xf>
    <xf numFmtId="0" fontId="37" fillId="0" borderId="0" xfId="0" applyFont="1" applyAlignment="1" applyProtection="1">
      <alignment horizontal="right"/>
      <protection locked="0"/>
    </xf>
    <xf numFmtId="0" fontId="20" fillId="0" borderId="0" xfId="0" applyFont="1" applyAlignment="1" applyProtection="1">
      <alignment horizontal="left"/>
      <protection locked="0"/>
    </xf>
    <xf numFmtId="0" fontId="1" fillId="2" borderId="0" xfId="0" applyFont="1" applyFill="1" applyAlignment="1" applyProtection="1">
      <alignment horizontal="left" vertical="center" wrapText="1"/>
      <protection locked="0"/>
    </xf>
    <xf numFmtId="0" fontId="13" fillId="3" borderId="0" xfId="1" applyFill="1" applyAlignment="1" applyProtection="1">
      <alignment horizontal="center"/>
      <protection locked="0"/>
    </xf>
    <xf numFmtId="0" fontId="21" fillId="2" borderId="0" xfId="0" applyFont="1" applyFill="1" applyAlignment="1" applyProtection="1">
      <alignment vertical="center"/>
      <protection locked="0"/>
    </xf>
    <xf numFmtId="0" fontId="13" fillId="0" borderId="0" xfId="1" applyFill="1" applyAlignment="1" applyProtection="1">
      <alignment horizontal="center"/>
      <protection locked="0"/>
    </xf>
    <xf numFmtId="0" fontId="1" fillId="2" borderId="0" xfId="0" applyFont="1" applyFill="1" applyAlignment="1" applyProtection="1">
      <alignment horizontal="left" vertical="center"/>
      <protection locked="0"/>
    </xf>
    <xf numFmtId="0" fontId="13" fillId="3" borderId="0" xfId="1" applyFill="1" applyAlignment="1" applyProtection="1">
      <alignment horizontal="center" vertical="top"/>
      <protection locked="0"/>
    </xf>
    <xf numFmtId="0" fontId="39" fillId="3" borderId="0" xfId="1" applyFont="1" applyFill="1" applyAlignment="1" applyProtection="1">
      <alignment horizontal="center" vertical="top"/>
      <protection locked="0"/>
    </xf>
    <xf numFmtId="0" fontId="27" fillId="2" borderId="0" xfId="0" applyFont="1" applyFill="1" applyAlignment="1" applyProtection="1">
      <alignment horizontal="center"/>
      <protection locked="0"/>
    </xf>
    <xf numFmtId="0" fontId="20" fillId="2" borderId="0" xfId="0" applyFont="1" applyFill="1" applyProtection="1">
      <protection locked="0"/>
    </xf>
    <xf numFmtId="0" fontId="20" fillId="2" borderId="0" xfId="0" applyFont="1" applyFill="1" applyAlignment="1" applyProtection="1">
      <alignment horizontal="center"/>
      <protection locked="0"/>
    </xf>
    <xf numFmtId="0" fontId="17" fillId="2" borderId="0" xfId="0" applyFont="1" applyFill="1" applyAlignment="1" applyProtection="1">
      <alignment horizontal="left" vertical="top"/>
      <protection locked="0"/>
    </xf>
    <xf numFmtId="0" fontId="20" fillId="2" borderId="0" xfId="0" applyFont="1" applyFill="1" applyAlignment="1" applyProtection="1">
      <alignment vertical="center" wrapText="1"/>
      <protection locked="0"/>
    </xf>
    <xf numFmtId="0" fontId="44" fillId="0" borderId="0" xfId="0" applyFont="1" applyAlignment="1" applyProtection="1">
      <alignment horizontal="center" vertical="center" wrapText="1"/>
      <protection locked="0"/>
    </xf>
    <xf numFmtId="0" fontId="45" fillId="0" borderId="0" xfId="0" applyFont="1" applyProtection="1">
      <protection locked="0"/>
    </xf>
    <xf numFmtId="0" fontId="21" fillId="3" borderId="22" xfId="0" applyFont="1" applyFill="1" applyBorder="1" applyAlignment="1" applyProtection="1">
      <alignment horizontal="center" vertical="center"/>
      <protection locked="0"/>
    </xf>
    <xf numFmtId="0" fontId="29" fillId="0" borderId="0" xfId="0" applyFont="1" applyAlignment="1" applyProtection="1">
      <alignment horizontal="left"/>
      <protection locked="0"/>
    </xf>
    <xf numFmtId="0" fontId="29" fillId="2" borderId="0" xfId="0" applyFont="1" applyFill="1" applyAlignment="1" applyProtection="1">
      <alignment horizontal="left"/>
      <protection locked="0"/>
    </xf>
    <xf numFmtId="0" fontId="45" fillId="0" borderId="0" xfId="0" applyFont="1" applyAlignment="1" applyProtection="1">
      <alignment horizontal="center"/>
      <protection locked="0"/>
    </xf>
    <xf numFmtId="0" fontId="45" fillId="0" borderId="0" xfId="0" applyFont="1" applyAlignment="1" applyProtection="1">
      <alignment horizontal="left"/>
      <protection locked="0"/>
    </xf>
    <xf numFmtId="0" fontId="46" fillId="0" borderId="0" xfId="0" applyFont="1" applyAlignment="1" applyProtection="1">
      <alignment horizontal="center" vertical="center"/>
      <protection locked="0"/>
    </xf>
    <xf numFmtId="0" fontId="21" fillId="0" borderId="0" xfId="0" applyFont="1" applyAlignment="1" applyProtection="1">
      <alignment vertical="center"/>
      <protection locked="0"/>
    </xf>
    <xf numFmtId="0" fontId="45" fillId="0" borderId="0" xfId="0" applyFont="1" applyAlignment="1" applyProtection="1">
      <alignment horizontal="center"/>
      <protection locked="0"/>
    </xf>
    <xf numFmtId="0" fontId="21" fillId="0" borderId="0" xfId="0" applyFont="1" applyAlignment="1" applyProtection="1">
      <alignment horizontal="center" vertical="center"/>
      <protection locked="0"/>
    </xf>
    <xf numFmtId="0" fontId="21" fillId="3" borderId="22" xfId="0" applyFont="1" applyFill="1" applyBorder="1" applyAlignment="1" applyProtection="1">
      <alignment horizontal="center"/>
      <protection locked="0"/>
    </xf>
    <xf numFmtId="0" fontId="21" fillId="2" borderId="0" xfId="0" applyFont="1" applyFill="1" applyAlignment="1" applyProtection="1">
      <alignment horizontal="center" vertical="center"/>
      <protection locked="0"/>
    </xf>
    <xf numFmtId="0" fontId="49" fillId="2" borderId="0" xfId="0" applyFont="1" applyFill="1" applyProtection="1">
      <protection locked="0"/>
    </xf>
    <xf numFmtId="0" fontId="47" fillId="0" borderId="0" xfId="0" applyFont="1" applyAlignment="1" applyProtection="1">
      <alignment horizontal="right"/>
      <protection locked="0"/>
    </xf>
    <xf numFmtId="0" fontId="18" fillId="2" borderId="8" xfId="0" applyFont="1" applyFill="1" applyBorder="1" applyAlignment="1" applyProtection="1">
      <alignment horizontal="center" vertical="center"/>
      <protection locked="0"/>
    </xf>
    <xf numFmtId="0" fontId="18" fillId="2" borderId="7" xfId="0" applyFont="1" applyFill="1" applyBorder="1" applyAlignment="1" applyProtection="1">
      <alignment horizontal="center" vertical="center"/>
      <protection locked="0"/>
    </xf>
    <xf numFmtId="0" fontId="18" fillId="2" borderId="6" xfId="0" applyFont="1" applyFill="1" applyBorder="1" applyAlignment="1" applyProtection="1">
      <alignment horizontal="center" vertical="center"/>
      <protection locked="0"/>
    </xf>
    <xf numFmtId="0" fontId="18" fillId="2" borderId="5" xfId="0" applyFont="1" applyFill="1" applyBorder="1" applyAlignment="1" applyProtection="1">
      <alignment horizontal="center" vertical="center"/>
      <protection locked="0"/>
    </xf>
    <xf numFmtId="0" fontId="18" fillId="2" borderId="0" xfId="0" applyFont="1" applyFill="1" applyAlignment="1" applyProtection="1">
      <alignment horizontal="center" vertical="center"/>
      <protection locked="0"/>
    </xf>
    <xf numFmtId="0" fontId="18" fillId="2" borderId="4" xfId="0" applyFont="1" applyFill="1" applyBorder="1" applyAlignment="1" applyProtection="1">
      <alignment horizontal="center" vertical="center"/>
      <protection locked="0"/>
    </xf>
    <xf numFmtId="0" fontId="18" fillId="2" borderId="3" xfId="0" applyFont="1" applyFill="1" applyBorder="1" applyAlignment="1" applyProtection="1">
      <alignment horizontal="center" vertical="center"/>
      <protection locked="0"/>
    </xf>
    <xf numFmtId="0" fontId="18" fillId="2" borderId="2" xfId="0" applyFont="1" applyFill="1" applyBorder="1" applyAlignment="1" applyProtection="1">
      <alignment horizontal="center" vertical="center"/>
      <protection locked="0"/>
    </xf>
    <xf numFmtId="0" fontId="18" fillId="2" borderId="1" xfId="0" applyFont="1" applyFill="1" applyBorder="1" applyAlignment="1" applyProtection="1">
      <alignment horizontal="center" vertical="center"/>
      <protection locked="0"/>
    </xf>
    <xf numFmtId="0" fontId="17" fillId="2" borderId="0" xfId="0" applyFont="1" applyFill="1" applyAlignment="1" applyProtection="1">
      <alignment horizontal="left" vertical="center" wrapText="1"/>
      <protection locked="0"/>
    </xf>
    <xf numFmtId="0" fontId="18" fillId="2" borderId="0" xfId="0" applyFont="1" applyFill="1" applyAlignment="1" applyProtection="1">
      <alignment vertical="center" wrapText="1"/>
      <protection locked="0"/>
    </xf>
    <xf numFmtId="0" fontId="17" fillId="0" borderId="0" xfId="0" applyFont="1" applyAlignment="1" applyProtection="1">
      <alignment horizontal="center" vertical="center" wrapText="1"/>
      <protection locked="0"/>
    </xf>
    <xf numFmtId="0" fontId="21" fillId="3" borderId="0" xfId="0" applyFont="1" applyFill="1" applyAlignment="1" applyProtection="1">
      <alignment horizontal="center" vertical="center"/>
      <protection locked="0"/>
    </xf>
    <xf numFmtId="0" fontId="17" fillId="3" borderId="23" xfId="0" applyFont="1" applyFill="1" applyBorder="1" applyAlignment="1" applyProtection="1">
      <alignment horizontal="center"/>
      <protection locked="0"/>
    </xf>
    <xf numFmtId="0" fontId="21" fillId="0" borderId="0" xfId="0" applyFont="1" applyAlignment="1" applyProtection="1">
      <alignment horizontal="center" vertical="center"/>
      <protection locked="0"/>
    </xf>
    <xf numFmtId="0" fontId="17" fillId="0" borderId="0" xfId="0" applyFont="1" applyAlignment="1" applyProtection="1">
      <alignment horizontal="center"/>
      <protection locked="0"/>
    </xf>
    <xf numFmtId="0" fontId="27" fillId="5" borderId="22" xfId="0" applyFont="1" applyFill="1" applyBorder="1" applyAlignment="1" applyProtection="1">
      <alignment horizontal="left" vertical="center"/>
      <protection locked="0"/>
    </xf>
    <xf numFmtId="0" fontId="22" fillId="2" borderId="27" xfId="0" applyFont="1" applyFill="1" applyBorder="1" applyAlignment="1" applyProtection="1">
      <alignment horizontal="center" vertical="top"/>
      <protection locked="0"/>
    </xf>
    <xf numFmtId="0" fontId="22" fillId="2" borderId="28" xfId="0" applyFont="1" applyFill="1" applyBorder="1" applyAlignment="1" applyProtection="1">
      <alignment horizontal="center" vertical="top"/>
      <protection locked="0"/>
    </xf>
    <xf numFmtId="0" fontId="22" fillId="2" borderId="29" xfId="0" applyFont="1" applyFill="1" applyBorder="1" applyAlignment="1" applyProtection="1">
      <alignment horizontal="center" vertical="top"/>
      <protection locked="0"/>
    </xf>
    <xf numFmtId="0" fontId="36" fillId="2" borderId="0" xfId="0" applyFont="1" applyFill="1" applyAlignment="1" applyProtection="1">
      <alignment horizontal="center" vertical="center"/>
    </xf>
  </cellXfs>
  <cellStyles count="5">
    <cellStyle name="Hipervínculo" xfId="1" builtinId="8"/>
    <cellStyle name="Millares" xfId="2" builtinId="3"/>
    <cellStyle name="Moneda" xfId="3" builtinId="4"/>
    <cellStyle name="Moneda 2" xfId="4" xr:uid="{7F80B2D9-ECAE-4F63-B0A7-B59E0BE3E0E4}"/>
    <cellStyle name="Normal" xfId="0" builtinId="0"/>
  </cellStyles>
  <dxfs count="203">
    <dxf>
      <font>
        <color theme="0"/>
      </font>
      <fill>
        <patternFill>
          <bgColor theme="0"/>
        </patternFill>
      </fill>
      <border>
        <left/>
        <right/>
        <top/>
        <bottom/>
      </border>
    </dxf>
    <dxf>
      <font>
        <color theme="0"/>
      </font>
      <fill>
        <patternFill>
          <bgColor theme="0"/>
        </patternFill>
      </fill>
      <border>
        <left/>
        <right/>
        <top/>
        <bottom/>
      </border>
    </dxf>
    <dxf>
      <font>
        <color theme="0"/>
      </font>
      <fill>
        <patternFill>
          <bgColor theme="0"/>
        </patternFill>
      </fill>
      <border>
        <left/>
        <right/>
        <top/>
        <bottom/>
      </border>
    </dxf>
    <dxf>
      <font>
        <color theme="0"/>
      </font>
      <fill>
        <patternFill>
          <bgColor theme="0"/>
        </patternFill>
      </fill>
      <border>
        <left/>
        <right/>
        <top/>
        <bottom/>
      </border>
    </dxf>
    <dxf>
      <font>
        <color theme="0"/>
      </font>
      <fill>
        <patternFill>
          <bgColor theme="0"/>
        </patternFill>
      </fill>
      <border>
        <left/>
        <right/>
        <top/>
        <bottom/>
      </border>
    </dxf>
    <dxf>
      <font>
        <color theme="0"/>
      </font>
      <fill>
        <patternFill>
          <bgColor theme="0"/>
        </patternFill>
      </fill>
      <border>
        <left/>
        <right/>
        <bottom/>
      </border>
    </dxf>
    <dxf>
      <font>
        <color theme="0"/>
      </font>
      <fill>
        <patternFill>
          <bgColor theme="0"/>
        </patternFill>
      </fill>
      <border>
        <right/>
        <top/>
        <bottom/>
      </border>
    </dxf>
    <dxf>
      <fill>
        <patternFill>
          <bgColor theme="0"/>
        </patternFill>
      </fill>
    </dxf>
    <dxf>
      <fill>
        <patternFill>
          <bgColor theme="0"/>
        </patternFill>
      </fill>
    </dxf>
    <dxf>
      <numFmt numFmtId="170" formatCode=";;;"/>
      <fill>
        <patternFill>
          <bgColor theme="0"/>
        </patternFill>
      </fill>
      <border>
        <left/>
        <right/>
        <top/>
        <bottom/>
        <vertical/>
        <horizontal/>
      </border>
    </dxf>
    <dxf>
      <font>
        <color theme="0"/>
      </font>
      <fill>
        <patternFill>
          <bgColor theme="0"/>
        </patternFill>
      </fill>
      <border>
        <left/>
        <right/>
        <top/>
        <bottom/>
      </border>
    </dxf>
    <dxf>
      <font>
        <color theme="0"/>
      </font>
      <fill>
        <patternFill>
          <bgColor theme="0"/>
        </patternFill>
      </fill>
      <border>
        <left/>
        <right/>
        <top/>
        <bottom/>
      </border>
    </dxf>
    <dxf>
      <numFmt numFmtId="170" formatCode=";;;"/>
      <fill>
        <patternFill>
          <bgColor theme="0"/>
        </patternFill>
      </fill>
      <border>
        <left/>
        <right/>
        <top/>
        <bottom/>
        <vertical/>
        <horizontal/>
      </border>
    </dxf>
    <dxf>
      <font>
        <color theme="0"/>
      </font>
      <border>
        <bottom/>
      </border>
    </dxf>
    <dxf>
      <font>
        <color theme="0"/>
      </font>
      <border>
        <bottom/>
      </border>
    </dxf>
    <dxf>
      <font>
        <color theme="0"/>
      </font>
      <border>
        <bottom/>
      </border>
    </dxf>
    <dxf>
      <font>
        <color theme="0"/>
      </font>
      <border>
        <bottom/>
      </border>
    </dxf>
    <dxf>
      <font>
        <color theme="0"/>
      </font>
      <border>
        <bottom/>
      </border>
    </dxf>
    <dxf>
      <font>
        <color theme="0"/>
      </font>
      <border>
        <bottom/>
      </border>
    </dxf>
    <dxf>
      <font>
        <color theme="0"/>
      </font>
      <border>
        <bottom/>
      </border>
    </dxf>
    <dxf>
      <font>
        <color theme="0"/>
      </font>
      <border>
        <bottom/>
      </border>
    </dxf>
    <dxf>
      <font>
        <color theme="0"/>
      </font>
      <border>
        <bottom/>
      </border>
    </dxf>
    <dxf>
      <font>
        <color theme="0"/>
      </font>
      <border>
        <bottom/>
      </border>
    </dxf>
    <dxf>
      <font>
        <color theme="0"/>
      </font>
      <border>
        <bottom/>
      </border>
    </dxf>
    <dxf>
      <font>
        <color theme="0"/>
      </font>
      <border>
        <bottom/>
      </border>
    </dxf>
    <dxf>
      <font>
        <color theme="0"/>
      </font>
      <fill>
        <patternFill>
          <bgColor theme="0"/>
        </patternFill>
      </fill>
      <border>
        <left/>
        <right/>
        <top/>
        <bottom/>
      </border>
    </dxf>
    <dxf>
      <font>
        <color theme="0"/>
      </font>
      <fill>
        <patternFill>
          <bgColor theme="0"/>
        </patternFill>
      </fill>
      <border>
        <left/>
        <right/>
        <top/>
        <bottom/>
      </border>
    </dxf>
    <dxf>
      <font>
        <color theme="0"/>
      </font>
      <fill>
        <patternFill>
          <bgColor theme="0"/>
        </patternFill>
      </fill>
      <border>
        <left/>
        <right/>
        <top/>
        <bottom/>
      </border>
    </dxf>
    <dxf>
      <font>
        <u val="none"/>
        <color theme="0"/>
      </font>
      <fill>
        <patternFill patternType="solid">
          <fgColor theme="0"/>
          <bgColor theme="0"/>
        </patternFill>
      </fill>
      <border>
        <left/>
        <right/>
        <top/>
        <bottom/>
      </border>
    </dxf>
    <dxf>
      <font>
        <b val="0"/>
        <i val="0"/>
        <u val="none"/>
        <color theme="0"/>
      </font>
      <fill>
        <patternFill patternType="none">
          <fgColor indexed="64"/>
          <bgColor indexed="65"/>
        </patternFill>
      </fill>
      <border>
        <left/>
        <right/>
        <top/>
        <bottom/>
      </border>
    </dxf>
    <dxf>
      <font>
        <u val="none"/>
        <color theme="0"/>
      </font>
      <fill>
        <patternFill patternType="solid">
          <fgColor theme="0"/>
          <bgColor theme="0"/>
        </patternFill>
      </fill>
      <border>
        <left/>
        <right/>
        <top/>
        <bottom/>
      </border>
    </dxf>
    <dxf>
      <font>
        <b val="0"/>
        <i val="0"/>
        <u val="none"/>
        <color theme="0"/>
      </font>
      <fill>
        <patternFill patternType="none">
          <fgColor indexed="64"/>
          <bgColor indexed="65"/>
        </patternFill>
      </fill>
      <border>
        <left/>
        <right/>
        <top/>
        <bottom/>
      </border>
    </dxf>
    <dxf>
      <font>
        <color theme="0"/>
      </font>
      <fill>
        <patternFill>
          <bgColor theme="0"/>
        </patternFill>
      </fill>
      <border>
        <left/>
        <right/>
        <top/>
        <bottom/>
      </border>
    </dxf>
    <dxf>
      <font>
        <color theme="0"/>
      </font>
      <fill>
        <patternFill>
          <bgColor theme="0"/>
        </patternFill>
      </fill>
      <border>
        <left/>
        <right/>
        <top/>
        <bottom/>
      </border>
    </dxf>
    <dxf>
      <font>
        <color theme="0"/>
      </font>
      <fill>
        <patternFill>
          <bgColor theme="0"/>
        </patternFill>
      </fill>
      <border>
        <left/>
        <right/>
        <top/>
        <bottom/>
      </border>
    </dxf>
    <dxf>
      <font>
        <color theme="0"/>
      </font>
      <fill>
        <patternFill>
          <bgColor theme="0"/>
        </patternFill>
      </fill>
      <border>
        <left/>
        <right/>
        <top/>
        <bottom/>
      </border>
    </dxf>
    <dxf>
      <font>
        <color theme="0"/>
      </font>
      <fill>
        <patternFill>
          <bgColor theme="0"/>
        </patternFill>
      </fill>
      <border>
        <left/>
        <right/>
        <top/>
        <bottom/>
      </border>
    </dxf>
    <dxf>
      <font>
        <color theme="0"/>
      </font>
      <fill>
        <patternFill>
          <bgColor theme="0"/>
        </patternFill>
      </fill>
      <border>
        <left/>
        <right/>
        <top/>
        <bottom/>
      </border>
    </dxf>
    <dxf>
      <font>
        <color theme="0"/>
      </font>
      <fill>
        <patternFill>
          <bgColor theme="0"/>
        </patternFill>
      </fill>
      <border>
        <left/>
        <right/>
        <top/>
        <bottom/>
      </border>
    </dxf>
    <dxf>
      <font>
        <color theme="0"/>
      </font>
      <fill>
        <patternFill>
          <bgColor theme="0"/>
        </patternFill>
      </fill>
      <border>
        <bottom/>
      </border>
    </dxf>
    <dxf>
      <font>
        <color theme="0"/>
      </font>
      <border>
        <left/>
        <right/>
        <top/>
        <bottom/>
      </border>
    </dxf>
    <dxf>
      <font>
        <color theme="0"/>
      </font>
      <border>
        <left/>
        <right/>
        <top/>
        <bottom/>
      </border>
    </dxf>
    <dxf>
      <font>
        <color theme="0"/>
      </font>
      <border>
        <left/>
        <right/>
        <top/>
        <bottom/>
      </border>
    </dxf>
    <dxf>
      <font>
        <color theme="0"/>
      </font>
      <fill>
        <patternFill>
          <bgColor theme="0"/>
        </patternFill>
      </fill>
      <border>
        <bottom/>
      </border>
    </dxf>
    <dxf>
      <font>
        <color theme="0"/>
      </font>
      <fill>
        <patternFill patternType="none">
          <bgColor indexed="65"/>
        </patternFill>
      </fill>
      <border>
        <bottom/>
      </border>
    </dxf>
    <dxf>
      <font>
        <color theme="0"/>
      </font>
      <border>
        <bottom/>
      </border>
    </dxf>
    <dxf>
      <font>
        <color theme="0"/>
      </font>
      <fill>
        <patternFill>
          <bgColor theme="0"/>
        </patternFill>
      </fill>
      <border>
        <bottom/>
      </border>
    </dxf>
    <dxf>
      <font>
        <color theme="0"/>
      </font>
      <fill>
        <patternFill>
          <bgColor theme="0"/>
        </patternFill>
      </fill>
      <border>
        <bottom/>
      </border>
    </dxf>
    <dxf>
      <font>
        <color theme="0"/>
      </font>
      <fill>
        <patternFill>
          <bgColor theme="0"/>
        </patternFill>
      </fill>
      <border>
        <bottom/>
      </border>
    </dxf>
    <dxf>
      <font>
        <color theme="0"/>
      </font>
      <fill>
        <patternFill patternType="none">
          <bgColor indexed="65"/>
        </patternFill>
      </fill>
      <border>
        <bottom/>
      </border>
    </dxf>
    <dxf>
      <font>
        <color theme="0"/>
      </font>
      <border>
        <bottom/>
      </border>
    </dxf>
    <dxf>
      <font>
        <color theme="0"/>
      </font>
      <fill>
        <patternFill>
          <bgColor theme="0"/>
        </patternFill>
      </fill>
      <border>
        <bottom/>
      </border>
    </dxf>
    <dxf>
      <font>
        <color theme="0"/>
      </font>
      <fill>
        <patternFill>
          <bgColor theme="0"/>
        </patternFill>
      </fill>
      <border>
        <bottom/>
      </border>
    </dxf>
    <dxf>
      <font>
        <color theme="0"/>
      </font>
      <fill>
        <patternFill>
          <bgColor theme="0"/>
        </patternFill>
      </fill>
      <border>
        <bottom/>
      </border>
    </dxf>
    <dxf>
      <font>
        <color theme="0"/>
      </font>
      <fill>
        <patternFill patternType="none">
          <bgColor indexed="65"/>
        </patternFill>
      </fill>
      <border>
        <bottom/>
      </border>
    </dxf>
    <dxf>
      <font>
        <color theme="0"/>
      </font>
      <border>
        <bottom/>
      </border>
    </dxf>
    <dxf>
      <font>
        <color theme="0"/>
      </font>
      <fill>
        <patternFill>
          <bgColor theme="0"/>
        </patternFill>
      </fill>
      <border>
        <bottom/>
      </border>
    </dxf>
    <dxf>
      <font>
        <color theme="0"/>
      </font>
      <fill>
        <patternFill>
          <bgColor theme="0"/>
        </patternFill>
      </fill>
      <border>
        <bottom/>
      </border>
    </dxf>
    <dxf>
      <font>
        <color theme="0"/>
      </font>
      <fill>
        <patternFill>
          <bgColor theme="0"/>
        </patternFill>
      </fill>
      <border>
        <bottom/>
      </border>
    </dxf>
    <dxf>
      <font>
        <color theme="0"/>
      </font>
      <fill>
        <patternFill patternType="none">
          <bgColor indexed="65"/>
        </patternFill>
      </fill>
      <border>
        <bottom/>
      </border>
    </dxf>
    <dxf>
      <font>
        <color theme="0"/>
      </font>
      <border>
        <bottom/>
      </border>
    </dxf>
    <dxf>
      <font>
        <color theme="0"/>
      </font>
      <fill>
        <patternFill>
          <bgColor theme="0"/>
        </patternFill>
      </fill>
      <border>
        <bottom/>
      </border>
    </dxf>
    <dxf>
      <font>
        <color theme="0"/>
      </font>
      <fill>
        <patternFill>
          <bgColor theme="0"/>
        </patternFill>
      </fill>
      <border>
        <bottom/>
      </border>
    </dxf>
    <dxf>
      <font>
        <color theme="0"/>
      </font>
      <fill>
        <patternFill>
          <bgColor theme="0"/>
        </patternFill>
      </fill>
      <border>
        <bottom/>
      </border>
    </dxf>
    <dxf>
      <font>
        <color theme="0"/>
      </font>
      <fill>
        <patternFill patternType="none">
          <bgColor indexed="65"/>
        </patternFill>
      </fill>
      <border>
        <bottom/>
      </border>
    </dxf>
    <dxf>
      <font>
        <color theme="0"/>
      </font>
      <border>
        <bottom/>
      </border>
    </dxf>
    <dxf>
      <font>
        <color theme="0"/>
      </font>
      <fill>
        <patternFill>
          <bgColor theme="0"/>
        </patternFill>
      </fill>
      <border>
        <bottom/>
      </border>
    </dxf>
    <dxf>
      <font>
        <color theme="0"/>
      </font>
      <fill>
        <patternFill>
          <bgColor theme="0"/>
        </patternFill>
      </fill>
      <border>
        <bottom/>
      </border>
    </dxf>
    <dxf>
      <font>
        <color theme="0"/>
      </font>
      <fill>
        <patternFill>
          <bgColor theme="0"/>
        </patternFill>
      </fill>
      <border>
        <bottom/>
      </border>
    </dxf>
    <dxf>
      <font>
        <color theme="0"/>
      </font>
      <fill>
        <patternFill patternType="none">
          <bgColor indexed="65"/>
        </patternFill>
      </fill>
      <border>
        <bottom/>
      </border>
    </dxf>
    <dxf>
      <font>
        <color theme="0"/>
      </font>
      <border>
        <bottom/>
      </border>
    </dxf>
    <dxf>
      <font>
        <color theme="0"/>
      </font>
      <fill>
        <patternFill>
          <bgColor theme="0"/>
        </patternFill>
      </fill>
      <border>
        <bottom/>
      </border>
    </dxf>
    <dxf>
      <font>
        <color theme="0"/>
      </font>
      <fill>
        <patternFill>
          <bgColor theme="0"/>
        </patternFill>
      </fill>
      <border>
        <bottom/>
      </border>
    </dxf>
    <dxf>
      <font>
        <color theme="0"/>
      </font>
      <fill>
        <patternFill>
          <bgColor theme="0"/>
        </patternFill>
      </fill>
      <border>
        <bottom/>
      </border>
    </dxf>
    <dxf>
      <font>
        <color theme="0"/>
      </font>
      <fill>
        <patternFill patternType="none">
          <bgColor indexed="65"/>
        </patternFill>
      </fill>
      <border>
        <bottom/>
      </border>
    </dxf>
    <dxf>
      <font>
        <color theme="0"/>
      </font>
      <border>
        <bottom/>
      </border>
    </dxf>
    <dxf>
      <font>
        <color theme="0"/>
      </font>
      <fill>
        <patternFill>
          <bgColor theme="0"/>
        </patternFill>
      </fill>
      <border>
        <bottom/>
      </border>
    </dxf>
    <dxf>
      <font>
        <color theme="0"/>
      </font>
      <fill>
        <patternFill>
          <bgColor theme="0"/>
        </patternFill>
      </fill>
      <border>
        <bottom/>
      </border>
    </dxf>
    <dxf>
      <font>
        <color theme="0"/>
      </font>
      <fill>
        <patternFill>
          <bgColor theme="0"/>
        </patternFill>
      </fill>
      <border>
        <bottom/>
      </border>
    </dxf>
    <dxf>
      <font>
        <color theme="0"/>
      </font>
      <fill>
        <patternFill patternType="none">
          <bgColor indexed="65"/>
        </patternFill>
      </fill>
      <border>
        <bottom/>
      </border>
    </dxf>
    <dxf>
      <font>
        <color theme="0"/>
      </font>
      <border>
        <bottom/>
      </border>
    </dxf>
    <dxf>
      <font>
        <color theme="0"/>
      </font>
      <fill>
        <patternFill>
          <bgColor theme="0"/>
        </patternFill>
      </fill>
      <border>
        <bottom/>
      </border>
    </dxf>
    <dxf>
      <font>
        <color theme="0"/>
      </font>
      <fill>
        <patternFill>
          <bgColor theme="0"/>
        </patternFill>
      </fill>
      <border>
        <bottom/>
      </border>
    </dxf>
    <dxf>
      <font>
        <color theme="0"/>
      </font>
      <fill>
        <patternFill>
          <bgColor theme="0"/>
        </patternFill>
      </fill>
      <border>
        <bottom/>
      </border>
    </dxf>
    <dxf>
      <font>
        <color theme="0"/>
      </font>
      <fill>
        <patternFill patternType="none">
          <bgColor indexed="65"/>
        </patternFill>
      </fill>
      <border>
        <bottom/>
      </border>
    </dxf>
    <dxf>
      <font>
        <color theme="0"/>
      </font>
      <border>
        <bottom/>
      </border>
    </dxf>
    <dxf>
      <font>
        <color theme="0"/>
      </font>
      <fill>
        <patternFill>
          <bgColor theme="0"/>
        </patternFill>
      </fill>
      <border>
        <bottom/>
      </border>
    </dxf>
    <dxf>
      <font>
        <color theme="0"/>
      </font>
      <fill>
        <patternFill>
          <bgColor theme="0"/>
        </patternFill>
      </fill>
      <border>
        <bottom/>
      </border>
    </dxf>
    <dxf>
      <font>
        <color theme="0"/>
      </font>
      <fill>
        <patternFill patternType="none">
          <bgColor indexed="65"/>
        </patternFill>
      </fill>
      <border>
        <bottom/>
      </border>
    </dxf>
    <dxf>
      <font>
        <color theme="0"/>
      </font>
      <border>
        <bottom/>
      </border>
    </dxf>
    <dxf>
      <font>
        <color theme="0"/>
      </font>
      <fill>
        <patternFill>
          <bgColor theme="0"/>
        </patternFill>
      </fill>
      <border>
        <bottom/>
      </border>
    </dxf>
    <dxf>
      <font>
        <color theme="0"/>
      </font>
      <fill>
        <patternFill>
          <bgColor theme="0"/>
        </patternFill>
      </fill>
      <border>
        <bottom/>
      </border>
    </dxf>
    <dxf>
      <font>
        <color theme="0"/>
      </font>
      <fill>
        <patternFill patternType="none">
          <bgColor indexed="65"/>
        </patternFill>
      </fill>
      <border>
        <bottom/>
      </border>
    </dxf>
    <dxf>
      <font>
        <color theme="0"/>
      </font>
      <border>
        <bottom/>
      </border>
    </dxf>
    <dxf>
      <font>
        <color theme="0"/>
      </font>
      <fill>
        <patternFill>
          <bgColor theme="0"/>
        </patternFill>
      </fill>
      <border>
        <bottom/>
      </border>
    </dxf>
    <dxf>
      <font>
        <color theme="0"/>
      </font>
      <fill>
        <patternFill>
          <bgColor theme="0"/>
        </patternFill>
      </fill>
      <border>
        <bottom/>
      </border>
    </dxf>
    <dxf>
      <font>
        <color theme="0"/>
      </font>
      <fill>
        <patternFill patternType="none">
          <bgColor indexed="65"/>
        </patternFill>
      </fill>
      <border>
        <bottom/>
      </border>
    </dxf>
    <dxf>
      <font>
        <color theme="0"/>
      </font>
      <border>
        <bottom/>
      </border>
    </dxf>
    <dxf>
      <font>
        <color theme="0"/>
      </font>
      <fill>
        <patternFill>
          <bgColor theme="0"/>
        </patternFill>
      </fill>
      <border>
        <bottom/>
      </border>
    </dxf>
    <dxf>
      <font>
        <color theme="0"/>
      </font>
      <fill>
        <patternFill>
          <bgColor theme="0"/>
        </patternFill>
      </fill>
      <border>
        <bottom/>
      </border>
    </dxf>
    <dxf>
      <font>
        <color theme="0"/>
      </font>
      <fill>
        <patternFill patternType="none">
          <bgColor indexed="65"/>
        </patternFill>
      </fill>
      <border>
        <bottom/>
      </border>
    </dxf>
    <dxf>
      <font>
        <color theme="0"/>
      </font>
      <border>
        <bottom/>
      </border>
    </dxf>
    <dxf>
      <font>
        <color theme="0"/>
      </font>
      <fill>
        <patternFill>
          <bgColor theme="0"/>
        </patternFill>
      </fill>
      <border>
        <bottom/>
      </border>
    </dxf>
    <dxf>
      <font>
        <color theme="0"/>
      </font>
      <fill>
        <patternFill>
          <bgColor theme="0"/>
        </patternFill>
      </fill>
      <border>
        <bottom/>
      </border>
    </dxf>
    <dxf>
      <font>
        <color theme="0"/>
      </font>
      <fill>
        <patternFill patternType="none">
          <bgColor indexed="65"/>
        </patternFill>
      </fill>
      <border>
        <bottom/>
      </border>
    </dxf>
    <dxf>
      <font>
        <color theme="0"/>
      </font>
      <border>
        <bottom/>
      </border>
    </dxf>
    <dxf>
      <font>
        <color theme="0"/>
      </font>
      <fill>
        <patternFill>
          <bgColor theme="0"/>
        </patternFill>
      </fill>
      <border>
        <bottom/>
      </border>
    </dxf>
    <dxf>
      <font>
        <color theme="0"/>
      </font>
      <fill>
        <patternFill>
          <bgColor theme="0"/>
        </patternFill>
      </fill>
      <border>
        <bottom/>
      </border>
    </dxf>
    <dxf>
      <font>
        <color theme="0"/>
      </font>
      <fill>
        <patternFill patternType="none">
          <bgColor indexed="65"/>
        </patternFill>
      </fill>
      <border>
        <bottom/>
      </border>
    </dxf>
    <dxf>
      <font>
        <color theme="0"/>
      </font>
      <border>
        <bottom/>
      </border>
    </dxf>
    <dxf>
      <font>
        <color theme="0"/>
      </font>
      <fill>
        <patternFill>
          <bgColor theme="0"/>
        </patternFill>
      </fill>
      <border>
        <bottom/>
      </border>
    </dxf>
    <dxf>
      <font>
        <color theme="0"/>
      </font>
      <fill>
        <patternFill>
          <bgColor theme="0"/>
        </patternFill>
      </fill>
      <border>
        <bottom/>
      </border>
    </dxf>
    <dxf>
      <font>
        <color theme="0"/>
      </font>
      <fill>
        <patternFill patternType="none">
          <bgColor indexed="65"/>
        </patternFill>
      </fill>
      <border>
        <bottom/>
      </border>
    </dxf>
    <dxf>
      <font>
        <color theme="0"/>
      </font>
      <border>
        <bottom/>
      </border>
    </dxf>
    <dxf>
      <font>
        <color theme="0"/>
      </font>
      <fill>
        <patternFill patternType="none">
          <bgColor indexed="65"/>
        </patternFill>
      </fill>
      <border>
        <bottom/>
      </border>
    </dxf>
    <dxf>
      <font>
        <color theme="0"/>
      </font>
      <border>
        <bottom/>
      </border>
    </dxf>
    <dxf>
      <font>
        <color theme="0"/>
      </font>
      <fill>
        <patternFill>
          <bgColor theme="0"/>
        </patternFill>
      </fill>
      <border>
        <bottom/>
      </border>
    </dxf>
    <dxf>
      <font>
        <color theme="0"/>
      </font>
      <border>
        <left/>
        <right/>
        <top/>
        <bottom/>
      </border>
    </dxf>
    <dxf>
      <font>
        <color theme="0"/>
      </font>
      <border>
        <left/>
        <right/>
        <top/>
        <bottom/>
      </border>
    </dxf>
    <dxf>
      <font>
        <color theme="0"/>
      </font>
      <fill>
        <patternFill patternType="none">
          <bgColor indexed="65"/>
        </patternFill>
      </fill>
      <border>
        <bottom/>
      </border>
    </dxf>
    <dxf>
      <font>
        <color theme="0"/>
      </font>
      <fill>
        <patternFill patternType="none">
          <bgColor indexed="65"/>
        </patternFill>
      </fill>
      <border>
        <bottom/>
      </border>
    </dxf>
    <dxf>
      <font>
        <color theme="0"/>
      </font>
      <fill>
        <patternFill patternType="none">
          <bgColor indexed="65"/>
        </patternFill>
      </fill>
      <border>
        <bottom/>
      </border>
    </dxf>
    <dxf>
      <font>
        <color theme="0"/>
      </font>
      <fill>
        <patternFill patternType="none">
          <bgColor indexed="65"/>
        </patternFill>
      </fill>
      <border>
        <bottom/>
      </border>
    </dxf>
    <dxf>
      <font>
        <color theme="0"/>
      </font>
      <fill>
        <patternFill>
          <bgColor theme="0"/>
        </patternFill>
      </fill>
      <border>
        <left/>
        <right/>
        <top/>
        <bottom/>
      </border>
    </dxf>
    <dxf>
      <font>
        <color theme="0"/>
      </font>
      <fill>
        <patternFill>
          <bgColor theme="0"/>
        </patternFill>
      </fill>
      <border>
        <left/>
        <right/>
        <top/>
        <bottom/>
      </border>
    </dxf>
    <dxf>
      <font>
        <color theme="0"/>
      </font>
      <fill>
        <patternFill patternType="solid">
          <fgColor theme="0"/>
          <bgColor theme="0"/>
        </patternFill>
      </fill>
      <border>
        <left/>
        <right/>
        <top/>
        <bottom/>
      </border>
    </dxf>
    <dxf>
      <font>
        <color theme="0"/>
      </font>
      <fill>
        <patternFill patternType="none">
          <bgColor indexed="65"/>
        </patternFill>
      </fill>
      <border>
        <bottom/>
      </border>
    </dxf>
    <dxf>
      <font>
        <color theme="0"/>
      </font>
      <fill>
        <patternFill patternType="none">
          <bgColor indexed="65"/>
        </patternFill>
      </fill>
      <border>
        <bottom/>
      </border>
    </dxf>
    <dxf>
      <font>
        <color theme="0"/>
      </font>
      <fill>
        <patternFill patternType="none">
          <bgColor indexed="65"/>
        </patternFill>
      </fill>
      <border>
        <bottom/>
      </border>
    </dxf>
    <dxf>
      <font>
        <color theme="0"/>
      </font>
      <fill>
        <patternFill patternType="none">
          <bgColor indexed="65"/>
        </patternFill>
      </fill>
      <border>
        <bottom/>
      </border>
    </dxf>
    <dxf>
      <font>
        <color theme="0"/>
      </font>
      <fill>
        <patternFill patternType="none">
          <bgColor indexed="65"/>
        </patternFill>
      </fill>
      <border>
        <bottom/>
      </border>
    </dxf>
    <dxf>
      <font>
        <color theme="0"/>
      </font>
      <fill>
        <patternFill patternType="none">
          <bgColor indexed="65"/>
        </patternFill>
      </fill>
      <border>
        <bottom/>
      </border>
    </dxf>
    <dxf>
      <font>
        <color theme="0"/>
      </font>
      <fill>
        <patternFill patternType="none">
          <bgColor indexed="65"/>
        </patternFill>
      </fill>
      <border>
        <bottom/>
      </border>
    </dxf>
    <dxf>
      <font>
        <color theme="0"/>
      </font>
      <fill>
        <patternFill patternType="none">
          <bgColor indexed="65"/>
        </patternFill>
      </fill>
      <border>
        <bottom/>
      </border>
    </dxf>
    <dxf>
      <font>
        <color theme="0"/>
      </font>
      <fill>
        <patternFill patternType="none">
          <bgColor indexed="65"/>
        </patternFill>
      </fill>
      <border>
        <bottom/>
      </border>
    </dxf>
    <dxf>
      <font>
        <color theme="0"/>
      </font>
      <fill>
        <patternFill patternType="none">
          <bgColor indexed="65"/>
        </patternFill>
      </fill>
      <border>
        <bottom/>
      </border>
    </dxf>
    <dxf>
      <font>
        <color theme="0"/>
      </font>
      <fill>
        <patternFill patternType="none">
          <bgColor indexed="65"/>
        </patternFill>
      </fill>
      <border>
        <bottom/>
      </border>
    </dxf>
    <dxf>
      <font>
        <color theme="0"/>
      </font>
      <fill>
        <patternFill patternType="none">
          <bgColor indexed="65"/>
        </patternFill>
      </fill>
      <border>
        <bottom/>
      </border>
    </dxf>
    <dxf>
      <font>
        <color theme="0"/>
      </font>
      <fill>
        <patternFill patternType="none">
          <bgColor indexed="65"/>
        </patternFill>
      </fill>
      <border>
        <bottom/>
      </border>
    </dxf>
    <dxf>
      <font>
        <color theme="0"/>
      </font>
      <fill>
        <patternFill patternType="none">
          <bgColor indexed="65"/>
        </patternFill>
      </fill>
      <border>
        <bottom/>
      </border>
    </dxf>
    <dxf>
      <font>
        <color theme="0"/>
      </font>
      <fill>
        <patternFill patternType="none">
          <bgColor indexed="65"/>
        </patternFill>
      </fill>
      <border>
        <bottom/>
      </border>
    </dxf>
    <dxf>
      <font>
        <color theme="0"/>
      </font>
      <fill>
        <patternFill patternType="none">
          <bgColor indexed="65"/>
        </patternFill>
      </fill>
      <border>
        <bottom/>
      </border>
    </dxf>
    <dxf>
      <numFmt numFmtId="170" formatCode=";;;"/>
      <fill>
        <patternFill>
          <bgColor theme="0"/>
        </patternFill>
      </fill>
      <border>
        <left/>
        <right/>
        <top/>
        <bottom/>
        <vertical/>
        <horizontal/>
      </border>
    </dxf>
    <dxf>
      <font>
        <color theme="0"/>
      </font>
      <fill>
        <patternFill patternType="solid">
          <bgColor theme="0"/>
        </patternFill>
      </fill>
      <border>
        <left style="thin">
          <color theme="0"/>
        </left>
        <right style="thin">
          <color theme="0"/>
        </right>
        <top style="thin">
          <color theme="0"/>
        </top>
        <bottom style="thin">
          <color theme="0"/>
        </bottom>
      </border>
    </dxf>
    <dxf>
      <font>
        <color theme="0"/>
      </font>
      <border>
        <left/>
        <right/>
        <top/>
        <bottom/>
      </border>
    </dxf>
    <dxf>
      <font>
        <color theme="0"/>
      </font>
      <fill>
        <patternFill>
          <bgColor theme="0"/>
        </patternFill>
      </fill>
      <border>
        <left/>
        <right/>
        <top/>
        <bottom/>
      </border>
    </dxf>
    <dxf>
      <font>
        <color theme="0"/>
      </font>
      <fill>
        <patternFill>
          <bgColor theme="0"/>
        </patternFill>
      </fill>
      <border>
        <left/>
        <right/>
        <top/>
        <bottom/>
      </border>
    </dxf>
    <dxf>
      <font>
        <color theme="0"/>
      </font>
      <fill>
        <patternFill>
          <bgColor theme="0"/>
        </patternFill>
      </fill>
      <border>
        <left/>
        <right/>
        <top/>
        <bottom/>
      </border>
    </dxf>
    <dxf>
      <font>
        <color theme="0"/>
      </font>
      <fill>
        <patternFill>
          <bgColor theme="0"/>
        </patternFill>
      </fill>
      <border>
        <left/>
        <right/>
        <top/>
        <bottom/>
      </border>
    </dxf>
    <dxf>
      <font>
        <color theme="0"/>
      </font>
      <fill>
        <patternFill>
          <bgColor theme="0"/>
        </patternFill>
      </fill>
      <border>
        <left/>
        <right/>
        <top/>
        <bottom/>
      </border>
    </dxf>
    <dxf>
      <font>
        <color theme="0"/>
      </font>
      <fill>
        <patternFill>
          <bgColor theme="0"/>
        </patternFill>
      </fill>
      <border>
        <left/>
        <right/>
        <top/>
        <bottom/>
      </border>
    </dxf>
    <dxf>
      <font>
        <color theme="0"/>
      </font>
      <fill>
        <patternFill>
          <bgColor theme="0"/>
        </patternFill>
      </fill>
      <border>
        <left/>
        <right/>
        <top/>
        <bottom/>
      </border>
    </dxf>
    <dxf>
      <font>
        <color theme="0"/>
      </font>
      <fill>
        <patternFill>
          <fgColor theme="0"/>
          <bgColor theme="0"/>
        </patternFill>
      </fill>
      <border>
        <left/>
        <right/>
        <top/>
        <bottom/>
      </border>
    </dxf>
    <dxf>
      <font>
        <color theme="0"/>
      </font>
      <fill>
        <patternFill>
          <bgColor theme="0"/>
        </patternFill>
      </fill>
      <border>
        <bottom/>
      </border>
    </dxf>
    <dxf>
      <font>
        <color theme="0"/>
      </font>
      <fill>
        <patternFill>
          <bgColor theme="0"/>
        </patternFill>
      </fill>
      <border>
        <bottom/>
      </border>
    </dxf>
    <dxf>
      <font>
        <color theme="0"/>
      </font>
      <fill>
        <patternFill patternType="solid">
          <bgColor theme="0"/>
        </patternFill>
      </fill>
      <border>
        <left style="thin">
          <color theme="0"/>
        </left>
        <right style="thin">
          <color theme="0"/>
        </right>
        <top style="thin">
          <color theme="0"/>
        </top>
        <bottom style="thin">
          <color theme="0"/>
        </bottom>
      </border>
    </dxf>
    <dxf>
      <font>
        <color theme="0"/>
      </font>
      <border>
        <left/>
        <right/>
        <top/>
        <bottom/>
      </border>
    </dxf>
    <dxf>
      <font>
        <color theme="0"/>
      </font>
      <fill>
        <patternFill patternType="none">
          <bgColor indexed="65"/>
        </patternFill>
      </fill>
      <border>
        <bottom/>
      </border>
    </dxf>
    <dxf>
      <font>
        <color theme="0"/>
      </font>
      <fill>
        <patternFill patternType="none">
          <bgColor indexed="65"/>
        </patternFill>
      </fill>
      <border>
        <bottom/>
      </border>
    </dxf>
    <dxf>
      <font>
        <color theme="0"/>
      </font>
      <fill>
        <patternFill patternType="none">
          <bgColor indexed="65"/>
        </patternFill>
      </fill>
      <border>
        <bottom/>
      </border>
    </dxf>
    <dxf>
      <font>
        <color theme="0"/>
      </font>
      <fill>
        <patternFill patternType="none">
          <bgColor indexed="65"/>
        </patternFill>
      </fill>
      <border>
        <bottom/>
      </border>
    </dxf>
    <dxf>
      <font>
        <color theme="0"/>
      </font>
      <fill>
        <patternFill patternType="none">
          <bgColor indexed="65"/>
        </patternFill>
      </fill>
      <border>
        <bottom/>
      </border>
    </dxf>
    <dxf>
      <font>
        <color theme="0"/>
      </font>
      <fill>
        <patternFill patternType="none">
          <bgColor indexed="65"/>
        </patternFill>
      </fill>
      <border>
        <bottom/>
      </border>
    </dxf>
    <dxf>
      <font>
        <color theme="0"/>
      </font>
      <fill>
        <patternFill patternType="none">
          <bgColor indexed="65"/>
        </patternFill>
      </fill>
      <border>
        <bottom/>
      </border>
    </dxf>
    <dxf>
      <font>
        <color theme="0"/>
      </font>
      <fill>
        <patternFill patternType="none">
          <bgColor indexed="65"/>
        </patternFill>
      </fill>
      <border>
        <bottom/>
      </border>
    </dxf>
    <dxf>
      <font>
        <color theme="0"/>
      </font>
      <fill>
        <patternFill patternType="none">
          <bgColor indexed="65"/>
        </patternFill>
      </fill>
      <border>
        <bottom/>
      </border>
    </dxf>
    <dxf>
      <font>
        <color theme="0"/>
      </font>
      <fill>
        <patternFill patternType="none">
          <bgColor indexed="65"/>
        </patternFill>
      </fill>
      <border>
        <bottom/>
      </border>
    </dxf>
    <dxf>
      <font>
        <color theme="0"/>
      </font>
      <fill>
        <patternFill patternType="none">
          <bgColor indexed="65"/>
        </patternFill>
      </fill>
      <border>
        <bottom/>
      </border>
    </dxf>
    <dxf>
      <font>
        <color theme="0"/>
      </font>
      <fill>
        <patternFill patternType="none">
          <bgColor indexed="65"/>
        </patternFill>
      </fill>
      <border>
        <bottom/>
      </border>
    </dxf>
    <dxf>
      <font>
        <color theme="0"/>
      </font>
      <fill>
        <patternFill patternType="none">
          <bgColor indexed="65"/>
        </patternFill>
      </fill>
      <border>
        <bottom/>
      </border>
    </dxf>
    <dxf>
      <font>
        <color theme="0"/>
      </font>
      <fill>
        <patternFill patternType="none">
          <bgColor indexed="65"/>
        </patternFill>
      </fill>
      <border>
        <bottom/>
      </border>
    </dxf>
    <dxf>
      <font>
        <color theme="0"/>
      </font>
      <fill>
        <patternFill patternType="none">
          <bgColor indexed="65"/>
        </patternFill>
      </fill>
      <border>
        <bottom/>
      </border>
    </dxf>
    <dxf>
      <font>
        <color theme="0"/>
      </font>
      <fill>
        <patternFill patternType="none">
          <bgColor indexed="65"/>
        </patternFill>
      </fill>
      <border>
        <bottom/>
      </border>
    </dxf>
    <dxf>
      <font>
        <color theme="0"/>
      </font>
      <fill>
        <patternFill patternType="none">
          <bgColor indexed="65"/>
        </patternFill>
      </fill>
      <border>
        <bottom/>
      </border>
    </dxf>
    <dxf>
      <font>
        <color theme="0"/>
      </font>
      <fill>
        <patternFill>
          <bgColor theme="0"/>
        </patternFill>
      </fill>
      <border>
        <left/>
        <right/>
        <top/>
        <bottom/>
      </border>
    </dxf>
    <dxf>
      <font>
        <color theme="0"/>
      </font>
      <fill>
        <patternFill>
          <bgColor theme="0"/>
        </patternFill>
      </fill>
      <border>
        <left/>
        <right/>
        <top/>
        <bottom/>
      </border>
    </dxf>
    <dxf>
      <font>
        <color theme="0"/>
      </font>
      <border>
        <left/>
        <right/>
        <top/>
        <bottom/>
      </border>
    </dxf>
    <dxf>
      <font>
        <color theme="0"/>
      </font>
      <border>
        <left/>
        <right/>
        <top/>
        <bottom/>
      </border>
    </dxf>
    <dxf>
      <font>
        <color theme="0"/>
      </font>
      <border>
        <left/>
        <right/>
        <top/>
        <bottom/>
      </border>
    </dxf>
    <dxf>
      <font>
        <color theme="0"/>
      </font>
      <border>
        <left/>
        <right/>
        <top/>
        <bottom/>
      </border>
    </dxf>
    <dxf>
      <font>
        <color theme="0"/>
      </font>
      <border>
        <left/>
        <right/>
        <top/>
        <bottom/>
      </border>
    </dxf>
    <dxf>
      <font>
        <color theme="0"/>
      </font>
      <border>
        <left/>
        <right/>
        <top/>
        <bottom/>
      </border>
    </dxf>
    <dxf>
      <font>
        <color theme="0"/>
      </font>
      <border>
        <left/>
        <right/>
        <top/>
        <bottom/>
      </border>
    </dxf>
    <dxf>
      <numFmt numFmtId="170" formatCode=";;;"/>
      <fill>
        <patternFill>
          <bgColor theme="0"/>
        </patternFill>
      </fill>
      <border>
        <left/>
        <right/>
        <top/>
        <bottom/>
        <vertical/>
        <horizontal/>
      </border>
    </dxf>
    <dxf>
      <numFmt numFmtId="170" formatCode=";;;"/>
      <fill>
        <patternFill>
          <bgColor theme="0"/>
        </patternFill>
      </fill>
      <border>
        <left/>
        <right/>
        <top/>
        <bottom/>
        <vertical/>
        <horizontal/>
      </border>
    </dxf>
    <dxf>
      <numFmt numFmtId="170" formatCode=";;;"/>
      <fill>
        <patternFill>
          <bgColor theme="0"/>
        </patternFill>
      </fill>
      <border>
        <left/>
        <right/>
        <top/>
        <bottom/>
        <vertical/>
        <horizontal/>
      </border>
    </dxf>
    <dxf>
      <numFmt numFmtId="170" formatCode=";;;"/>
      <fill>
        <patternFill>
          <bgColor theme="0"/>
        </patternFill>
      </fill>
      <border>
        <left/>
        <right/>
        <top/>
        <bottom/>
        <vertical/>
        <horizontal/>
      </border>
    </dxf>
    <dxf>
      <numFmt numFmtId="170" formatCode=";;;"/>
      <fill>
        <patternFill>
          <bgColor theme="0"/>
        </patternFill>
      </fill>
      <border>
        <left/>
        <right/>
        <top/>
        <bottom/>
        <vertical/>
        <horizontal/>
      </border>
    </dxf>
    <dxf>
      <numFmt numFmtId="170" formatCode=";;;"/>
      <fill>
        <patternFill>
          <bgColor theme="0"/>
        </patternFill>
      </fill>
      <border>
        <left/>
        <right/>
        <top/>
        <bottom/>
        <vertical/>
        <horizontal/>
      </border>
    </dxf>
    <dxf>
      <numFmt numFmtId="170" formatCode=";;;"/>
      <fill>
        <patternFill>
          <bgColor theme="0"/>
        </patternFill>
      </fill>
      <border>
        <left/>
        <right/>
        <top/>
        <bottom/>
        <vertical/>
        <horizontal/>
      </border>
    </dxf>
    <dxf>
      <font>
        <color theme="0"/>
      </font>
      <fill>
        <patternFill>
          <bgColor theme="0"/>
        </patternFill>
      </fill>
      <border>
        <left/>
        <right/>
        <top/>
        <bottom/>
      </border>
    </dxf>
    <dxf>
      <font>
        <color theme="0"/>
      </font>
      <fill>
        <patternFill>
          <bgColor theme="0"/>
        </patternFill>
      </fill>
      <border>
        <left/>
        <right/>
        <top/>
        <bottom/>
      </border>
    </dxf>
    <dxf>
      <font>
        <color theme="0"/>
      </font>
      <fill>
        <patternFill>
          <bgColor theme="0"/>
        </patternFill>
      </fill>
      <border>
        <left/>
        <right/>
        <top/>
        <bottom/>
      </border>
    </dxf>
    <dxf>
      <font>
        <color theme="0"/>
      </font>
      <fill>
        <patternFill>
          <bgColor theme="0"/>
        </patternFill>
      </fill>
      <border>
        <left/>
        <right/>
        <top/>
        <bottom/>
      </border>
    </dxf>
    <dxf>
      <font>
        <color theme="0"/>
      </font>
      <fill>
        <patternFill>
          <bgColor theme="0"/>
        </patternFill>
      </fill>
      <border>
        <left/>
        <right/>
        <top/>
        <bottom/>
      </border>
    </dxf>
    <dxf>
      <font>
        <color theme="0"/>
      </font>
      <fill>
        <patternFill>
          <bgColor theme="0"/>
        </patternFill>
      </fill>
      <border>
        <left/>
        <right/>
        <top/>
        <bottom/>
      </border>
    </dxf>
    <dxf>
      <font>
        <color theme="0"/>
      </font>
      <fill>
        <patternFill>
          <bgColor theme="0"/>
        </patternFill>
      </fill>
      <border>
        <left/>
        <right/>
        <top/>
        <bottom/>
      </border>
    </dxf>
    <dxf>
      <fill>
        <patternFill>
          <bgColor indexed="10"/>
        </patternFill>
      </fill>
    </dxf>
    <dxf>
      <font>
        <color theme="0"/>
      </font>
      <fill>
        <patternFill>
          <bgColor theme="0"/>
        </patternFill>
      </fill>
      <border>
        <left/>
        <right/>
        <top/>
        <bottom/>
      </border>
    </dxf>
    <dxf>
      <font>
        <color theme="0"/>
      </font>
      <fill>
        <patternFill>
          <bgColor theme="0"/>
        </patternFill>
      </fill>
      <border>
        <left/>
        <right/>
        <top/>
        <bottom/>
      </border>
    </dxf>
    <dxf>
      <font>
        <color theme="0"/>
      </font>
      <fill>
        <patternFill>
          <bgColor theme="0"/>
        </patternFill>
      </fill>
      <border>
        <left/>
        <right/>
        <top/>
        <bottom/>
      </border>
    </dxf>
    <dxf>
      <font>
        <color theme="0"/>
      </font>
      <fill>
        <patternFill>
          <bgColor theme="0"/>
        </patternFill>
      </fill>
      <border>
        <left/>
        <right/>
        <top/>
        <bottom/>
      </border>
    </dxf>
    <dxf>
      <font>
        <color theme="0"/>
      </font>
      <fill>
        <patternFill>
          <bgColor theme="0"/>
        </patternFill>
      </fill>
      <border>
        <left/>
        <right/>
        <top/>
        <bottom/>
      </border>
    </dxf>
  </dxfs>
  <tableStyles count="0" defaultTableStyle="TableStyleMedium2" defaultPivotStyle="PivotStyleLight16"/>
  <colors>
    <mruColors>
      <color rgb="FF0000FF"/>
      <color rgb="FF777777"/>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18"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sharedStrings" Target="sharedStrings.xml"/><Relationship Id="rId17" Type="http://schemas.microsoft.com/office/2017/06/relationships/rdRichValueTypes" Target="richData/rdRichValueTypes.xml"/><Relationship Id="rId2" Type="http://schemas.openxmlformats.org/officeDocument/2006/relationships/worksheet" Target="worksheets/sheet2.xml"/><Relationship Id="rId16" Type="http://schemas.microsoft.com/office/2017/06/relationships/rdRichValueStructure" Target="richData/rdrichvaluestructure.xml"/><Relationship Id="rId20"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17/06/relationships/rdRichValue" Target="richData/rdrichvalue.xml"/><Relationship Id="rId23" Type="http://schemas.microsoft.com/office/2006/relationships/vbaProject" Target="vbaProject.bin"/><Relationship Id="rId10" Type="http://schemas.openxmlformats.org/officeDocument/2006/relationships/theme" Target="theme/theme1.xml"/><Relationship Id="rId19"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22/10/relationships/richValueRel" Target="richData/richValueRel.xml"/><Relationship Id="rId22" Type="http://schemas.openxmlformats.org/officeDocument/2006/relationships/customXml" Target="../customXml/item4.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image" Target="../media/image2.png"/></Relationships>
</file>

<file path=xl/drawings/_rels/drawing5.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4.png"/><Relationship Id="rId1" Type="http://schemas.openxmlformats.org/officeDocument/2006/relationships/image" Target="../media/image2.png"/><Relationship Id="rId6" Type="http://schemas.openxmlformats.org/officeDocument/2006/relationships/image" Target="../media/image8.png"/><Relationship Id="rId5" Type="http://schemas.openxmlformats.org/officeDocument/2006/relationships/image" Target="../media/image7.png"/><Relationship Id="rId4" Type="http://schemas.openxmlformats.org/officeDocument/2006/relationships/image" Target="../media/image6.png"/></Relationships>
</file>

<file path=xl/drawings/_rels/drawing6.xml.rels><?xml version="1.0" encoding="UTF-8" standalone="yes"?>
<Relationships xmlns="http://schemas.openxmlformats.org/package/2006/relationships"><Relationship Id="rId3" Type="http://schemas.openxmlformats.org/officeDocument/2006/relationships/image" Target="../media/image11.png"/><Relationship Id="rId7" Type="http://schemas.openxmlformats.org/officeDocument/2006/relationships/image" Target="../media/image15.jpeg"/><Relationship Id="rId2" Type="http://schemas.openxmlformats.org/officeDocument/2006/relationships/image" Target="../media/image10.png"/><Relationship Id="rId1" Type="http://schemas.openxmlformats.org/officeDocument/2006/relationships/image" Target="../media/image9.png"/><Relationship Id="rId6" Type="http://schemas.openxmlformats.org/officeDocument/2006/relationships/image" Target="../media/image14.png"/><Relationship Id="rId5" Type="http://schemas.openxmlformats.org/officeDocument/2006/relationships/image" Target="../media/image13.jpeg"/><Relationship Id="rId4" Type="http://schemas.openxmlformats.org/officeDocument/2006/relationships/image" Target="../media/image12.png"/></Relationships>
</file>

<file path=xl/drawings/drawing1.xml><?xml version="1.0" encoding="utf-8"?>
<xdr:wsDr xmlns:xdr="http://schemas.openxmlformats.org/drawingml/2006/spreadsheetDrawing" xmlns:a="http://schemas.openxmlformats.org/drawingml/2006/main">
  <xdr:twoCellAnchor editAs="oneCell">
    <xdr:from>
      <xdr:col>2</xdr:col>
      <xdr:colOff>0</xdr:colOff>
      <xdr:row>0</xdr:row>
      <xdr:rowOff>0</xdr:rowOff>
    </xdr:from>
    <xdr:to>
      <xdr:col>3</xdr:col>
      <xdr:colOff>690562</xdr:colOff>
      <xdr:row>2</xdr:row>
      <xdr:rowOff>114300</xdr:rowOff>
    </xdr:to>
    <xdr:pic>
      <xdr:nvPicPr>
        <xdr:cNvPr id="65884" name="7 Imagen">
          <a:extLst>
            <a:ext uri="{FF2B5EF4-FFF2-40B4-BE49-F238E27FC236}">
              <a16:creationId xmlns:a16="http://schemas.microsoft.com/office/drawing/2014/main" id="{12EC1A2B-6989-ED79-13DE-F78EA75184B7}"/>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8625" y="0"/>
          <a:ext cx="1238250" cy="514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0</xdr:colOff>
      <xdr:row>0</xdr:row>
      <xdr:rowOff>0</xdr:rowOff>
    </xdr:from>
    <xdr:to>
      <xdr:col>3</xdr:col>
      <xdr:colOff>690562</xdr:colOff>
      <xdr:row>2</xdr:row>
      <xdr:rowOff>114300</xdr:rowOff>
    </xdr:to>
    <xdr:pic>
      <xdr:nvPicPr>
        <xdr:cNvPr id="65885" name="7 Imagen">
          <a:extLst>
            <a:ext uri="{FF2B5EF4-FFF2-40B4-BE49-F238E27FC236}">
              <a16:creationId xmlns:a16="http://schemas.microsoft.com/office/drawing/2014/main" id="{192A9477-E369-EF9D-BF06-53B8FECA38A1}"/>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28625" y="0"/>
          <a:ext cx="1238250" cy="514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23</xdr:col>
      <xdr:colOff>180975</xdr:colOff>
      <xdr:row>0</xdr:row>
      <xdr:rowOff>47625</xdr:rowOff>
    </xdr:from>
    <xdr:to>
      <xdr:col>25</xdr:col>
      <xdr:colOff>209550</xdr:colOff>
      <xdr:row>2</xdr:row>
      <xdr:rowOff>180975</xdr:rowOff>
    </xdr:to>
    <xdr:pic>
      <xdr:nvPicPr>
        <xdr:cNvPr id="65886" name="Imagen 5">
          <a:extLst>
            <a:ext uri="{FF2B5EF4-FFF2-40B4-BE49-F238E27FC236}">
              <a16:creationId xmlns:a16="http://schemas.microsoft.com/office/drawing/2014/main" id="{A9EF31AA-55C0-A98B-A1F6-D54527A6C8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772275" y="47625"/>
          <a:ext cx="1362075" cy="533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209550</xdr:colOff>
      <xdr:row>0</xdr:row>
      <xdr:rowOff>0</xdr:rowOff>
    </xdr:from>
    <xdr:to>
      <xdr:col>4</xdr:col>
      <xdr:colOff>276225</xdr:colOff>
      <xdr:row>2</xdr:row>
      <xdr:rowOff>114300</xdr:rowOff>
    </xdr:to>
    <xdr:pic>
      <xdr:nvPicPr>
        <xdr:cNvPr id="66790" name="3 Imagen">
          <a:extLst>
            <a:ext uri="{FF2B5EF4-FFF2-40B4-BE49-F238E27FC236}">
              <a16:creationId xmlns:a16="http://schemas.microsoft.com/office/drawing/2014/main" id="{0E23A9D6-8490-47EA-1CFA-C4C3CE4019E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1475" y="0"/>
          <a:ext cx="1238250" cy="514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26</xdr:col>
      <xdr:colOff>57150</xdr:colOff>
      <xdr:row>0</xdr:row>
      <xdr:rowOff>38100</xdr:rowOff>
    </xdr:from>
    <xdr:to>
      <xdr:col>29</xdr:col>
      <xdr:colOff>95250</xdr:colOff>
      <xdr:row>2</xdr:row>
      <xdr:rowOff>171450</xdr:rowOff>
    </xdr:to>
    <xdr:pic>
      <xdr:nvPicPr>
        <xdr:cNvPr id="66791" name="Imagen 3">
          <a:extLst>
            <a:ext uri="{FF2B5EF4-FFF2-40B4-BE49-F238E27FC236}">
              <a16:creationId xmlns:a16="http://schemas.microsoft.com/office/drawing/2014/main" id="{E5C1BDBA-0FEB-F2FE-E1FF-2A20BFBA33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191375" y="38100"/>
          <a:ext cx="1362075" cy="533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2</xdr:col>
      <xdr:colOff>76200</xdr:colOff>
      <xdr:row>0</xdr:row>
      <xdr:rowOff>0</xdr:rowOff>
    </xdr:from>
    <xdr:to>
      <xdr:col>6</xdr:col>
      <xdr:colOff>125186</xdr:colOff>
      <xdr:row>2</xdr:row>
      <xdr:rowOff>114300</xdr:rowOff>
    </xdr:to>
    <xdr:pic>
      <xdr:nvPicPr>
        <xdr:cNvPr id="67816" name="3 Imagen">
          <a:extLst>
            <a:ext uri="{FF2B5EF4-FFF2-40B4-BE49-F238E27FC236}">
              <a16:creationId xmlns:a16="http://schemas.microsoft.com/office/drawing/2014/main" id="{4F1AD64B-F34A-99E0-D781-CF72C1B22D2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04825" y="0"/>
          <a:ext cx="1238250" cy="5143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25</xdr:col>
      <xdr:colOff>304800</xdr:colOff>
      <xdr:row>0</xdr:row>
      <xdr:rowOff>47625</xdr:rowOff>
    </xdr:from>
    <xdr:to>
      <xdr:col>26</xdr:col>
      <xdr:colOff>217715</xdr:colOff>
      <xdr:row>2</xdr:row>
      <xdr:rowOff>180975</xdr:rowOff>
    </xdr:to>
    <xdr:pic>
      <xdr:nvPicPr>
        <xdr:cNvPr id="67817" name="Imagen 3">
          <a:extLst>
            <a:ext uri="{FF2B5EF4-FFF2-40B4-BE49-F238E27FC236}">
              <a16:creationId xmlns:a16="http://schemas.microsoft.com/office/drawing/2014/main" id="{887E86C7-47AE-AAEA-A63B-6B94098BFEE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134225" y="47625"/>
          <a:ext cx="1362075" cy="533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152400</xdr:colOff>
      <xdr:row>0</xdr:row>
      <xdr:rowOff>0</xdr:rowOff>
    </xdr:from>
    <xdr:to>
      <xdr:col>4</xdr:col>
      <xdr:colOff>238125</xdr:colOff>
      <xdr:row>2</xdr:row>
      <xdr:rowOff>114300</xdr:rowOff>
    </xdr:to>
    <xdr:pic>
      <xdr:nvPicPr>
        <xdr:cNvPr id="68838" name="3 Imagen">
          <a:extLst>
            <a:ext uri="{FF2B5EF4-FFF2-40B4-BE49-F238E27FC236}">
              <a16:creationId xmlns:a16="http://schemas.microsoft.com/office/drawing/2014/main" id="{4E156681-C3C9-8CDB-2B78-F52174551744}"/>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2400" y="0"/>
          <a:ext cx="1274445" cy="5105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26</xdr:col>
      <xdr:colOff>161925</xdr:colOff>
      <xdr:row>0</xdr:row>
      <xdr:rowOff>28575</xdr:rowOff>
    </xdr:from>
    <xdr:to>
      <xdr:col>29</xdr:col>
      <xdr:colOff>95250</xdr:colOff>
      <xdr:row>2</xdr:row>
      <xdr:rowOff>161925</xdr:rowOff>
    </xdr:to>
    <xdr:pic>
      <xdr:nvPicPr>
        <xdr:cNvPr id="68839" name="Imagen 3">
          <a:extLst>
            <a:ext uri="{FF2B5EF4-FFF2-40B4-BE49-F238E27FC236}">
              <a16:creationId xmlns:a16="http://schemas.microsoft.com/office/drawing/2014/main" id="{966D9099-6647-9C6C-4E34-03A1A3561C2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315200" y="28575"/>
          <a:ext cx="1362075" cy="533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57150</xdr:colOff>
      <xdr:row>0</xdr:row>
      <xdr:rowOff>190500</xdr:rowOff>
    </xdr:from>
    <xdr:to>
      <xdr:col>16</xdr:col>
      <xdr:colOff>781610</xdr:colOff>
      <xdr:row>0</xdr:row>
      <xdr:rowOff>866775</xdr:rowOff>
    </xdr:to>
    <xdr:pic>
      <xdr:nvPicPr>
        <xdr:cNvPr id="70552" name="1 Imagen">
          <a:extLst>
            <a:ext uri="{FF2B5EF4-FFF2-40B4-BE49-F238E27FC236}">
              <a16:creationId xmlns:a16="http://schemas.microsoft.com/office/drawing/2014/main" id="{E97133D9-12BE-B539-3EA0-0A869C5F303B}"/>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553200" y="190500"/>
          <a:ext cx="1619250" cy="676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18</xdr:col>
      <xdr:colOff>180975</xdr:colOff>
      <xdr:row>47</xdr:row>
      <xdr:rowOff>104775</xdr:rowOff>
    </xdr:from>
    <xdr:to>
      <xdr:col>19</xdr:col>
      <xdr:colOff>400050</xdr:colOff>
      <xdr:row>50</xdr:row>
      <xdr:rowOff>180975</xdr:rowOff>
    </xdr:to>
    <xdr:pic>
      <xdr:nvPicPr>
        <xdr:cNvPr id="70553" name="Imagen 5">
          <a:extLst>
            <a:ext uri="{FF2B5EF4-FFF2-40B4-BE49-F238E27FC236}">
              <a16:creationId xmlns:a16="http://schemas.microsoft.com/office/drawing/2014/main" id="{6206657C-A8ED-5641-E4FB-04DF1625EF32}"/>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467725" y="11801475"/>
          <a:ext cx="666750" cy="676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14</xdr:col>
      <xdr:colOff>400050</xdr:colOff>
      <xdr:row>46</xdr:row>
      <xdr:rowOff>171450</xdr:rowOff>
    </xdr:from>
    <xdr:to>
      <xdr:col>16</xdr:col>
      <xdr:colOff>428624</xdr:colOff>
      <xdr:row>51</xdr:row>
      <xdr:rowOff>133349</xdr:rowOff>
    </xdr:to>
    <xdr:pic>
      <xdr:nvPicPr>
        <xdr:cNvPr id="70554" name="Imagen 6">
          <a:extLst>
            <a:ext uri="{FF2B5EF4-FFF2-40B4-BE49-F238E27FC236}">
              <a16:creationId xmlns:a16="http://schemas.microsoft.com/office/drawing/2014/main" id="{03A7BB3F-7189-1548-0C74-323136CE3056}"/>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896100" y="11668125"/>
          <a:ext cx="9239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19050</xdr:colOff>
      <xdr:row>46</xdr:row>
      <xdr:rowOff>133350</xdr:rowOff>
    </xdr:from>
    <xdr:to>
      <xdr:col>24</xdr:col>
      <xdr:colOff>85725</xdr:colOff>
      <xdr:row>51</xdr:row>
      <xdr:rowOff>85724</xdr:rowOff>
    </xdr:to>
    <xdr:pic>
      <xdr:nvPicPr>
        <xdr:cNvPr id="70555" name="Imagen 9">
          <a:extLst>
            <a:ext uri="{FF2B5EF4-FFF2-40B4-BE49-F238E27FC236}">
              <a16:creationId xmlns:a16="http://schemas.microsoft.com/office/drawing/2014/main" id="{A82884E3-4DDE-A594-7E44-C9AF7A8EF4F4}"/>
            </a:ext>
          </a:extLst>
        </xdr:cNvPr>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648825" y="11630025"/>
          <a:ext cx="1333500" cy="9525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27</xdr:col>
      <xdr:colOff>400050</xdr:colOff>
      <xdr:row>46</xdr:row>
      <xdr:rowOff>180975</xdr:rowOff>
    </xdr:from>
    <xdr:to>
      <xdr:col>30</xdr:col>
      <xdr:colOff>47625</xdr:colOff>
      <xdr:row>51</xdr:row>
      <xdr:rowOff>142874</xdr:rowOff>
    </xdr:to>
    <xdr:pic>
      <xdr:nvPicPr>
        <xdr:cNvPr id="70556" name="Imagen 10">
          <a:extLst>
            <a:ext uri="{FF2B5EF4-FFF2-40B4-BE49-F238E27FC236}">
              <a16:creationId xmlns:a16="http://schemas.microsoft.com/office/drawing/2014/main" id="{7C3ED330-B249-FB90-1EF9-7C73A38C6A79}"/>
            </a:ext>
          </a:extLst>
        </xdr:cNvPr>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2639675" y="11677650"/>
          <a:ext cx="990600"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24</xdr:col>
      <xdr:colOff>409575</xdr:colOff>
      <xdr:row>47</xdr:row>
      <xdr:rowOff>142875</xdr:rowOff>
    </xdr:from>
    <xdr:to>
      <xdr:col>26</xdr:col>
      <xdr:colOff>180975</xdr:colOff>
      <xdr:row>51</xdr:row>
      <xdr:rowOff>19050</xdr:rowOff>
    </xdr:to>
    <xdr:pic>
      <xdr:nvPicPr>
        <xdr:cNvPr id="70557" name="Imagen 15">
          <a:extLst>
            <a:ext uri="{FF2B5EF4-FFF2-40B4-BE49-F238E27FC236}">
              <a16:creationId xmlns:a16="http://schemas.microsoft.com/office/drawing/2014/main" id="{BBA67DC3-33D5-3BA0-5DA8-0197CBB4B743}"/>
            </a:ext>
          </a:extLst>
        </xdr:cNvPr>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1306175" y="11839575"/>
          <a:ext cx="666750" cy="676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21</xdr:col>
      <xdr:colOff>67235</xdr:colOff>
      <xdr:row>45</xdr:row>
      <xdr:rowOff>78441</xdr:rowOff>
    </xdr:from>
    <xdr:to>
      <xdr:col>21</xdr:col>
      <xdr:colOff>67235</xdr:colOff>
      <xdr:row>52</xdr:row>
      <xdr:rowOff>112059</xdr:rowOff>
    </xdr:to>
    <xdr:cxnSp macro="">
      <xdr:nvCxnSpPr>
        <xdr:cNvPr id="17" name="Conector recto 16">
          <a:extLst>
            <a:ext uri="{FF2B5EF4-FFF2-40B4-BE49-F238E27FC236}">
              <a16:creationId xmlns:a16="http://schemas.microsoft.com/office/drawing/2014/main" id="{FF7CD4AA-2557-911E-1AFC-23FD04927A46}"/>
            </a:ext>
          </a:extLst>
        </xdr:cNvPr>
        <xdr:cNvCxnSpPr/>
      </xdr:nvCxnSpPr>
      <xdr:spPr>
        <a:xfrm>
          <a:off x="9704294" y="11340353"/>
          <a:ext cx="0" cy="1445559"/>
        </a:xfrm>
        <a:prstGeom prst="line">
          <a:avLst/>
        </a:prstGeom>
        <a:ln w="12700"/>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11206</xdr:colOff>
      <xdr:row>45</xdr:row>
      <xdr:rowOff>78441</xdr:rowOff>
    </xdr:from>
    <xdr:to>
      <xdr:col>24</xdr:col>
      <xdr:colOff>11206</xdr:colOff>
      <xdr:row>52</xdr:row>
      <xdr:rowOff>112059</xdr:rowOff>
    </xdr:to>
    <xdr:cxnSp macro="">
      <xdr:nvCxnSpPr>
        <xdr:cNvPr id="19" name="Conector recto 18">
          <a:extLst>
            <a:ext uri="{FF2B5EF4-FFF2-40B4-BE49-F238E27FC236}">
              <a16:creationId xmlns:a16="http://schemas.microsoft.com/office/drawing/2014/main" id="{40519D11-1C63-92D3-58B1-1DA56294ED71}"/>
            </a:ext>
          </a:extLst>
        </xdr:cNvPr>
        <xdr:cNvCxnSpPr/>
      </xdr:nvCxnSpPr>
      <xdr:spPr>
        <a:xfrm>
          <a:off x="10914530" y="11340353"/>
          <a:ext cx="0" cy="1445559"/>
        </a:xfrm>
        <a:prstGeom prst="line">
          <a:avLst/>
        </a:prstGeom>
        <a:ln w="12700"/>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137160</xdr:colOff>
          <xdr:row>25</xdr:row>
          <xdr:rowOff>60960</xdr:rowOff>
        </xdr:from>
        <xdr:to>
          <xdr:col>10</xdr:col>
          <xdr:colOff>2065020</xdr:colOff>
          <xdr:row>28</xdr:row>
          <xdr:rowOff>76200</xdr:rowOff>
        </xdr:to>
        <xdr:sp macro="" textlink="">
          <xdr:nvSpPr>
            <xdr:cNvPr id="35841" name="Button 1" hidden="1">
              <a:extLst>
                <a:ext uri="{63B3BB69-23CF-44E3-9099-C40C66FF867C}">
                  <a14:compatExt spid="_x0000_s35841"/>
                </a:ext>
                <a:ext uri="{FF2B5EF4-FFF2-40B4-BE49-F238E27FC236}">
                  <a16:creationId xmlns:a16="http://schemas.microsoft.com/office/drawing/2014/main" id="{00000000-0008-0000-0500-0000018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CO" sz="1100" b="0" i="0" u="none" strike="noStrike" baseline="0">
                  <a:solidFill>
                    <a:srgbClr val="000000"/>
                  </a:solidFill>
                  <a:latin typeface="Calibri"/>
                  <a:cs typeface="Calibri"/>
                </a:rPr>
                <a:t>Simular Color</a:t>
              </a:r>
            </a:p>
          </xdr:txBody>
        </xdr:sp>
        <xdr:clientData fPrintsWithSheet="0"/>
      </xdr:twoCellAnchor>
    </mc:Choice>
    <mc:Fallback/>
  </mc:AlternateContent>
  <xdr:twoCellAnchor>
    <xdr:from>
      <xdr:col>7</xdr:col>
      <xdr:colOff>152399</xdr:colOff>
      <xdr:row>15</xdr:row>
      <xdr:rowOff>97971</xdr:rowOff>
    </xdr:from>
    <xdr:to>
      <xdr:col>9</xdr:col>
      <xdr:colOff>598714</xdr:colOff>
      <xdr:row>16</xdr:row>
      <xdr:rowOff>119743</xdr:rowOff>
    </xdr:to>
    <xdr:cxnSp macro="">
      <xdr:nvCxnSpPr>
        <xdr:cNvPr id="3" name="2 Conector recto de flecha">
          <a:extLst>
            <a:ext uri="{FF2B5EF4-FFF2-40B4-BE49-F238E27FC236}">
              <a16:creationId xmlns:a16="http://schemas.microsoft.com/office/drawing/2014/main" id="{67934115-6A4B-4339-A880-5B435471C1A8}"/>
            </a:ext>
          </a:extLst>
        </xdr:cNvPr>
        <xdr:cNvCxnSpPr/>
      </xdr:nvCxnSpPr>
      <xdr:spPr>
        <a:xfrm flipH="1">
          <a:off x="5273039" y="2917371"/>
          <a:ext cx="1909355" cy="204652"/>
        </a:xfrm>
        <a:prstGeom prst="straightConnector1">
          <a:avLst/>
        </a:prstGeom>
        <a:ln w="19050">
          <a:tailEnd type="arrow"/>
        </a:ln>
        <a:effectLst>
          <a:outerShdw blurRad="50800" dist="38100" dir="8100000" algn="tr" rotWithShape="0">
            <a:prstClr val="black">
              <a:alpha val="40000"/>
            </a:prstClr>
          </a:outerShdw>
        </a:effectLst>
      </xdr:spPr>
      <xdr:style>
        <a:lnRef idx="1">
          <a:schemeClr val="dk1"/>
        </a:lnRef>
        <a:fillRef idx="0">
          <a:schemeClr val="dk1"/>
        </a:fillRef>
        <a:effectRef idx="0">
          <a:schemeClr val="dk1"/>
        </a:effectRef>
        <a:fontRef idx="minor">
          <a:schemeClr val="tx1"/>
        </a:fontRef>
      </xdr:style>
    </xdr:cxnSp>
    <xdr:clientData/>
  </xdr:twoCellAnchor>
  <xdr:twoCellAnchor>
    <xdr:from>
      <xdr:col>0</xdr:col>
      <xdr:colOff>206829</xdr:colOff>
      <xdr:row>11</xdr:row>
      <xdr:rowOff>87086</xdr:rowOff>
    </xdr:from>
    <xdr:to>
      <xdr:col>1</xdr:col>
      <xdr:colOff>329294</xdr:colOff>
      <xdr:row>13</xdr:row>
      <xdr:rowOff>163285</xdr:rowOff>
    </xdr:to>
    <xdr:sp macro="" textlink="">
      <xdr:nvSpPr>
        <xdr:cNvPr id="4" name="CuadroTexto 3">
          <a:extLst>
            <a:ext uri="{FF2B5EF4-FFF2-40B4-BE49-F238E27FC236}">
              <a16:creationId xmlns:a16="http://schemas.microsoft.com/office/drawing/2014/main" id="{1B6BDAAE-D1AC-4A85-B01A-ABF905D3F35E}"/>
            </a:ext>
          </a:extLst>
        </xdr:cNvPr>
        <xdr:cNvSpPr txBox="1"/>
      </xdr:nvSpPr>
      <xdr:spPr>
        <a:xfrm>
          <a:off x="206829" y="2167346"/>
          <a:ext cx="853985" cy="449579"/>
        </a:xfrm>
        <a:prstGeom prst="rect">
          <a:avLst/>
        </a:prstGeom>
        <a:ln/>
      </xdr:spPr>
      <xdr:style>
        <a:lnRef idx="1">
          <a:schemeClr val="dk1"/>
        </a:lnRef>
        <a:fillRef idx="2">
          <a:schemeClr val="dk1"/>
        </a:fillRef>
        <a:effectRef idx="1">
          <a:schemeClr val="dk1"/>
        </a:effectRef>
        <a:fontRef idx="minor">
          <a:schemeClr val="dk1"/>
        </a:fontRef>
      </xdr:style>
      <xdr:txBody>
        <a:bodyPr vertOverflow="clip" horzOverflow="clip" wrap="square" rtlCol="0" anchor="t"/>
        <a:lstStyle/>
        <a:p>
          <a:r>
            <a:rPr lang="es-CO" sz="1100">
              <a:effectLst>
                <a:reflection blurRad="6350" stA="55000" endA="300" endPos="45500" dir="5400000" sy="-100000" algn="bl" rotWithShape="0"/>
              </a:effectLst>
            </a:rPr>
            <a:t>LOG</a:t>
          </a:r>
          <a:r>
            <a:rPr lang="es-CO" sz="1100" baseline="0">
              <a:effectLst>
                <a:reflection blurRad="6350" stA="55000" endA="300" endPos="45500" dir="5400000" sy="-100000" algn="bl" rotWithShape="0"/>
              </a:effectLst>
            </a:rPr>
            <a:t> DE LA EMPRESA</a:t>
          </a:r>
          <a:endParaRPr lang="es-CO" sz="1100">
            <a:effectLst>
              <a:reflection blurRad="6350" stA="55000" endA="300" endPos="45500" dir="5400000" sy="-100000" algn="bl" rotWithShape="0"/>
            </a:effectLst>
          </a:endParaRPr>
        </a:p>
      </xdr:txBody>
    </xdr:sp>
    <xdr:clientData/>
  </xdr:twoCellAnchor>
  <xdr:twoCellAnchor editAs="oneCell">
    <xdr:from>
      <xdr:col>7</xdr:col>
      <xdr:colOff>304799</xdr:colOff>
      <xdr:row>10</xdr:row>
      <xdr:rowOff>183822</xdr:rowOff>
    </xdr:from>
    <xdr:to>
      <xdr:col>8</xdr:col>
      <xdr:colOff>572991</xdr:colOff>
      <xdr:row>12</xdr:row>
      <xdr:rowOff>167359</xdr:rowOff>
    </xdr:to>
    <xdr:pic>
      <xdr:nvPicPr>
        <xdr:cNvPr id="5" name="Imagen 4">
          <a:extLst>
            <a:ext uri="{FF2B5EF4-FFF2-40B4-BE49-F238E27FC236}">
              <a16:creationId xmlns:a16="http://schemas.microsoft.com/office/drawing/2014/main" id="{1487193D-FEF5-4B67-BC80-EBD469B1149F}"/>
            </a:ext>
          </a:extLst>
        </xdr:cNvPr>
        <xdr:cNvPicPr>
          <a:picLocks noChangeAspect="1"/>
        </xdr:cNvPicPr>
      </xdr:nvPicPr>
      <xdr:blipFill>
        <a:blip xmlns:r="http://schemas.openxmlformats.org/officeDocument/2006/relationships" r:embed="rId1"/>
        <a:stretch>
          <a:fillRect/>
        </a:stretch>
      </xdr:blipFill>
      <xdr:spPr>
        <a:xfrm>
          <a:off x="5425439" y="2081202"/>
          <a:ext cx="999712" cy="356917"/>
        </a:xfrm>
        <a:prstGeom prst="rect">
          <a:avLst/>
        </a:prstGeom>
      </xdr:spPr>
    </xdr:pic>
    <xdr:clientData/>
  </xdr:twoCellAnchor>
  <xdr:twoCellAnchor editAs="oneCell">
    <xdr:from>
      <xdr:col>5</xdr:col>
      <xdr:colOff>720190</xdr:colOff>
      <xdr:row>11</xdr:row>
      <xdr:rowOff>43543</xdr:rowOff>
    </xdr:from>
    <xdr:to>
      <xdr:col>7</xdr:col>
      <xdr:colOff>128480</xdr:colOff>
      <xdr:row>13</xdr:row>
      <xdr:rowOff>27080</xdr:rowOff>
    </xdr:to>
    <xdr:pic>
      <xdr:nvPicPr>
        <xdr:cNvPr id="6" name="Imagen 5">
          <a:extLst>
            <a:ext uri="{FF2B5EF4-FFF2-40B4-BE49-F238E27FC236}">
              <a16:creationId xmlns:a16="http://schemas.microsoft.com/office/drawing/2014/main" id="{A7D063E5-8375-4296-9BBB-094718424C6D}"/>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4377790" y="2123803"/>
          <a:ext cx="871330" cy="35691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65314</xdr:colOff>
      <xdr:row>16</xdr:row>
      <xdr:rowOff>174172</xdr:rowOff>
    </xdr:from>
    <xdr:to>
      <xdr:col>5</xdr:col>
      <xdr:colOff>685801</xdr:colOff>
      <xdr:row>18</xdr:row>
      <xdr:rowOff>24494</xdr:rowOff>
    </xdr:to>
    <xdr:sp macro="" textlink="">
      <xdr:nvSpPr>
        <xdr:cNvPr id="7" name="CuadroTexto 6">
          <a:extLst>
            <a:ext uri="{FF2B5EF4-FFF2-40B4-BE49-F238E27FC236}">
              <a16:creationId xmlns:a16="http://schemas.microsoft.com/office/drawing/2014/main" id="{77E5524D-4625-4DBA-B1B0-D46668AF7F26}"/>
            </a:ext>
          </a:extLst>
        </xdr:cNvPr>
        <xdr:cNvSpPr txBox="1"/>
      </xdr:nvSpPr>
      <xdr:spPr>
        <a:xfrm>
          <a:off x="2259874" y="3176452"/>
          <a:ext cx="2083527" cy="223702"/>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a:solidFill>
                <a:schemeClr val="bg1"/>
              </a:solidFill>
            </a:rPr>
            <a:t>DATOS</a:t>
          </a:r>
          <a:r>
            <a:rPr lang="es-CO" sz="1050" baseline="0">
              <a:solidFill>
                <a:schemeClr val="bg1"/>
              </a:solidFill>
            </a:rPr>
            <a:t> DE LA TAQUILLA</a:t>
          </a:r>
          <a:endParaRPr lang="es-CO" sz="1050">
            <a:solidFill>
              <a:schemeClr val="bg1"/>
            </a:solidFill>
          </a:endParaRPr>
        </a:p>
      </xdr:txBody>
    </xdr:sp>
    <xdr:clientData/>
  </xdr:twoCellAnchor>
  <xdr:twoCellAnchor>
    <xdr:from>
      <xdr:col>3</xdr:col>
      <xdr:colOff>65314</xdr:colOff>
      <xdr:row>19</xdr:row>
      <xdr:rowOff>54429</xdr:rowOff>
    </xdr:from>
    <xdr:to>
      <xdr:col>6</xdr:col>
      <xdr:colOff>506186</xdr:colOff>
      <xdr:row>24</xdr:row>
      <xdr:rowOff>92528</xdr:rowOff>
    </xdr:to>
    <xdr:sp macro="" textlink="">
      <xdr:nvSpPr>
        <xdr:cNvPr id="8" name="CuadroTexto 7">
          <a:extLst>
            <a:ext uri="{FF2B5EF4-FFF2-40B4-BE49-F238E27FC236}">
              <a16:creationId xmlns:a16="http://schemas.microsoft.com/office/drawing/2014/main" id="{1A3B4324-56CD-4527-BD05-BC8D6FB58B63}"/>
            </a:ext>
          </a:extLst>
        </xdr:cNvPr>
        <xdr:cNvSpPr txBox="1"/>
      </xdr:nvSpPr>
      <xdr:spPr>
        <a:xfrm>
          <a:off x="2259874" y="3612969"/>
          <a:ext cx="2635432" cy="952499"/>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800" b="1">
              <a:solidFill>
                <a:sysClr val="windowText" lastClr="000000"/>
              </a:solidFill>
            </a:rPr>
            <a:t>ESPACIO</a:t>
          </a:r>
          <a:r>
            <a:rPr lang="es-CO" sz="1800" b="1" baseline="0">
              <a:solidFill>
                <a:sysClr val="windowText" lastClr="000000"/>
              </a:solidFill>
            </a:rPr>
            <a:t> PARA LA INFORMACION TRANSACCIONAL</a:t>
          </a:r>
          <a:endParaRPr lang="es-CO" sz="1800" b="1">
            <a:solidFill>
              <a:sysClr val="windowText" lastClr="000000"/>
            </a:solidFill>
          </a:endParaRPr>
        </a:p>
      </xdr:txBody>
    </xdr:sp>
    <xdr:clientData/>
  </xdr:twoCellAnchor>
  <xdr:twoCellAnchor>
    <xdr:from>
      <xdr:col>6</xdr:col>
      <xdr:colOff>87085</xdr:colOff>
      <xdr:row>24</xdr:row>
      <xdr:rowOff>149678</xdr:rowOff>
    </xdr:from>
    <xdr:to>
      <xdr:col>7</xdr:col>
      <xdr:colOff>234043</xdr:colOff>
      <xdr:row>26</xdr:row>
      <xdr:rowOff>43542</xdr:rowOff>
    </xdr:to>
    <xdr:sp macro="" textlink="">
      <xdr:nvSpPr>
        <xdr:cNvPr id="9" name="CuadroTexto 8">
          <a:extLst>
            <a:ext uri="{FF2B5EF4-FFF2-40B4-BE49-F238E27FC236}">
              <a16:creationId xmlns:a16="http://schemas.microsoft.com/office/drawing/2014/main" id="{A7F1FA29-069E-49DC-AAA6-185D3F162101}"/>
            </a:ext>
          </a:extLst>
        </xdr:cNvPr>
        <xdr:cNvSpPr txBox="1"/>
      </xdr:nvSpPr>
      <xdr:spPr>
        <a:xfrm>
          <a:off x="4476205" y="4622618"/>
          <a:ext cx="878478" cy="259624"/>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100">
              <a:solidFill>
                <a:schemeClr val="bg1"/>
              </a:solidFill>
            </a:rPr>
            <a:t>Pagar</a:t>
          </a:r>
        </a:p>
      </xdr:txBody>
    </xdr:sp>
    <xdr:clientData/>
  </xdr:twoCellAnchor>
  <mc:AlternateContent xmlns:mc="http://schemas.openxmlformats.org/markup-compatibility/2006">
    <mc:Choice xmlns:a14="http://schemas.microsoft.com/office/drawing/2010/main" Requires="a14">
      <xdr:twoCellAnchor>
        <xdr:from>
          <xdr:col>10</xdr:col>
          <xdr:colOff>365760</xdr:colOff>
          <xdr:row>125</xdr:row>
          <xdr:rowOff>38100</xdr:rowOff>
        </xdr:from>
        <xdr:to>
          <xdr:col>10</xdr:col>
          <xdr:colOff>1943100</xdr:colOff>
          <xdr:row>128</xdr:row>
          <xdr:rowOff>152400</xdr:rowOff>
        </xdr:to>
        <xdr:sp macro="" textlink="">
          <xdr:nvSpPr>
            <xdr:cNvPr id="35842" name="Button 2" hidden="1">
              <a:extLst>
                <a:ext uri="{63B3BB69-23CF-44E3-9099-C40C66FF867C}">
                  <a14:compatExt spid="_x0000_s35842"/>
                </a:ext>
                <a:ext uri="{FF2B5EF4-FFF2-40B4-BE49-F238E27FC236}">
                  <a16:creationId xmlns:a16="http://schemas.microsoft.com/office/drawing/2014/main" id="{00000000-0008-0000-0500-0000028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s-CO" sz="1100" b="0" i="0" u="none" strike="noStrike" baseline="0">
                  <a:solidFill>
                    <a:srgbClr val="000000"/>
                  </a:solidFill>
                  <a:latin typeface="Calibri"/>
                  <a:cs typeface="Calibri"/>
                </a:rPr>
                <a:t>Simular color</a:t>
              </a:r>
            </a:p>
          </xdr:txBody>
        </xdr:sp>
        <xdr:clientData fPrintsWithSheet="0"/>
      </xdr:twoCellAnchor>
    </mc:Choice>
    <mc:Fallback/>
  </mc:AlternateContent>
  <xdr:twoCellAnchor>
    <xdr:from>
      <xdr:col>0</xdr:col>
      <xdr:colOff>672192</xdr:colOff>
      <xdr:row>113</xdr:row>
      <xdr:rowOff>152400</xdr:rowOff>
    </xdr:from>
    <xdr:to>
      <xdr:col>2</xdr:col>
      <xdr:colOff>680358</xdr:colOff>
      <xdr:row>115</xdr:row>
      <xdr:rowOff>40821</xdr:rowOff>
    </xdr:to>
    <xdr:sp macro="" textlink="">
      <xdr:nvSpPr>
        <xdr:cNvPr id="10" name="CuadroTexto 9">
          <a:extLst>
            <a:ext uri="{FF2B5EF4-FFF2-40B4-BE49-F238E27FC236}">
              <a16:creationId xmlns:a16="http://schemas.microsoft.com/office/drawing/2014/main" id="{83676B15-9B72-4D97-BA96-E6DD09324667}"/>
            </a:ext>
          </a:extLst>
        </xdr:cNvPr>
        <xdr:cNvSpPr txBox="1"/>
      </xdr:nvSpPr>
      <xdr:spPr>
        <a:xfrm>
          <a:off x="672192" y="18669000"/>
          <a:ext cx="1471206" cy="254181"/>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100">
              <a:solidFill>
                <a:schemeClr val="bg1"/>
              </a:solidFill>
            </a:rPr>
            <a:t>inicio</a:t>
          </a:r>
          <a:r>
            <a:rPr lang="es-CO" sz="1100">
              <a:solidFill>
                <a:schemeClr val="accent5"/>
              </a:solidFill>
            </a:rPr>
            <a:t> </a:t>
          </a:r>
          <a:r>
            <a:rPr lang="es-CO" sz="1100">
              <a:solidFill>
                <a:schemeClr val="bg1"/>
              </a:solidFill>
            </a:rPr>
            <a:t>&gt;</a:t>
          </a:r>
          <a:r>
            <a:rPr lang="es-CO" sz="1100" baseline="0">
              <a:solidFill>
                <a:schemeClr val="bg1"/>
              </a:solidFill>
            </a:rPr>
            <a:t> Formualrio</a:t>
          </a:r>
          <a:endParaRPr lang="es-CO" sz="1100">
            <a:solidFill>
              <a:schemeClr val="bg1"/>
            </a:solidFill>
          </a:endParaRPr>
        </a:p>
      </xdr:txBody>
    </xdr:sp>
    <xdr:clientData/>
  </xdr:twoCellAnchor>
  <xdr:twoCellAnchor editAs="oneCell">
    <xdr:from>
      <xdr:col>1</xdr:col>
      <xdr:colOff>691245</xdr:colOff>
      <xdr:row>32</xdr:row>
      <xdr:rowOff>158666</xdr:rowOff>
    </xdr:from>
    <xdr:to>
      <xdr:col>4</xdr:col>
      <xdr:colOff>217715</xdr:colOff>
      <xdr:row>35</xdr:row>
      <xdr:rowOff>59736</xdr:rowOff>
    </xdr:to>
    <xdr:pic>
      <xdr:nvPicPr>
        <xdr:cNvPr id="11" name="Imagen 10">
          <a:extLst>
            <a:ext uri="{FF2B5EF4-FFF2-40B4-BE49-F238E27FC236}">
              <a16:creationId xmlns:a16="http://schemas.microsoft.com/office/drawing/2014/main" id="{C46283CD-4D71-45D6-AB06-ACA8E77ED3A4}"/>
            </a:ext>
          </a:extLst>
        </xdr:cNvPr>
        <xdr:cNvPicPr>
          <a:picLocks noChangeAspect="1"/>
        </xdr:cNvPicPr>
      </xdr:nvPicPr>
      <xdr:blipFill>
        <a:blip xmlns:r="http://schemas.openxmlformats.org/officeDocument/2006/relationships" r:embed="rId3"/>
        <a:stretch>
          <a:fillRect/>
        </a:stretch>
      </xdr:blipFill>
      <xdr:spPr>
        <a:xfrm>
          <a:off x="1422765" y="6102266"/>
          <a:ext cx="1721030" cy="449709"/>
        </a:xfrm>
        <a:prstGeom prst="rect">
          <a:avLst/>
        </a:prstGeom>
      </xdr:spPr>
    </xdr:pic>
    <xdr:clientData/>
  </xdr:twoCellAnchor>
  <xdr:oneCellAnchor>
    <xdr:from>
      <xdr:col>4</xdr:col>
      <xdr:colOff>424542</xdr:colOff>
      <xdr:row>33</xdr:row>
      <xdr:rowOff>119153</xdr:rowOff>
    </xdr:from>
    <xdr:ext cx="3442855" cy="186269"/>
    <xdr:sp macro="" textlink="">
      <xdr:nvSpPr>
        <xdr:cNvPr id="12" name="CuadroTexto 11">
          <a:extLst>
            <a:ext uri="{FF2B5EF4-FFF2-40B4-BE49-F238E27FC236}">
              <a16:creationId xmlns:a16="http://schemas.microsoft.com/office/drawing/2014/main" id="{027CAE4B-F38F-4DB3-8A21-CA96638A8676}"/>
            </a:ext>
          </a:extLst>
        </xdr:cNvPr>
        <xdr:cNvSpPr txBox="1"/>
      </xdr:nvSpPr>
      <xdr:spPr>
        <a:xfrm>
          <a:off x="3350622" y="6245633"/>
          <a:ext cx="3442855" cy="1862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s-CO" sz="600">
              <a:solidFill>
                <a:schemeClr val="bg1"/>
              </a:solidFill>
            </a:rPr>
            <a:t>Todos los derechos reservados ©. Sitio administrado por: ACH Colombia S.A</a:t>
          </a:r>
        </a:p>
      </xdr:txBody>
    </xdr:sp>
    <xdr:clientData/>
  </xdr:oneCellAnchor>
  <xdr:twoCellAnchor editAs="oneCell">
    <xdr:from>
      <xdr:col>0</xdr:col>
      <xdr:colOff>130628</xdr:colOff>
      <xdr:row>33</xdr:row>
      <xdr:rowOff>131806</xdr:rowOff>
    </xdr:from>
    <xdr:to>
      <xdr:col>1</xdr:col>
      <xdr:colOff>498020</xdr:colOff>
      <xdr:row>34</xdr:row>
      <xdr:rowOff>72107</xdr:rowOff>
    </xdr:to>
    <xdr:pic>
      <xdr:nvPicPr>
        <xdr:cNvPr id="13" name="Imagen 12">
          <a:extLst>
            <a:ext uri="{FF2B5EF4-FFF2-40B4-BE49-F238E27FC236}">
              <a16:creationId xmlns:a16="http://schemas.microsoft.com/office/drawing/2014/main" id="{97EEDF2E-4B81-4333-A854-9D431754ABDA}"/>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0628" y="6258286"/>
          <a:ext cx="1098912" cy="12318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481691</xdr:colOff>
      <xdr:row>27</xdr:row>
      <xdr:rowOff>141514</xdr:rowOff>
    </xdr:from>
    <xdr:to>
      <xdr:col>6</xdr:col>
      <xdr:colOff>304798</xdr:colOff>
      <xdr:row>30</xdr:row>
      <xdr:rowOff>155121</xdr:rowOff>
    </xdr:to>
    <xdr:sp macro="" textlink="">
      <xdr:nvSpPr>
        <xdr:cNvPr id="14" name="CuadroTexto 13">
          <a:extLst>
            <a:ext uri="{FF2B5EF4-FFF2-40B4-BE49-F238E27FC236}">
              <a16:creationId xmlns:a16="http://schemas.microsoft.com/office/drawing/2014/main" id="{E15AF8BA-7188-4FB5-9D4A-F243E386AD85}"/>
            </a:ext>
          </a:extLst>
        </xdr:cNvPr>
        <xdr:cNvSpPr txBox="1"/>
      </xdr:nvSpPr>
      <xdr:spPr>
        <a:xfrm>
          <a:off x="1944731" y="5170714"/>
          <a:ext cx="2749187" cy="562247"/>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O" sz="600" b="0" i="0">
              <a:solidFill>
                <a:schemeClr val="dk1"/>
              </a:solidFill>
              <a:effectLst/>
              <a:latin typeface="+mn-lt"/>
              <a:ea typeface="+mn-ea"/>
              <a:cs typeface="+mn-cs"/>
            </a:rPr>
            <a:t>El pago se efectuará utilizando los servicios de ACH Colombia, ya sea realizando el débito desde su cuenta corriente, ahorros o de depósitos electrónicos a través del boton de PSE o tarjeta crédito si tiene el convenio.</a:t>
          </a:r>
          <a:endParaRPr lang="es-CO" sz="500">
            <a:solidFill>
              <a:schemeClr val="bg1"/>
            </a:solidFill>
          </a:endParaRPr>
        </a:p>
      </xdr:txBody>
    </xdr:sp>
    <xdr:clientData/>
  </xdr:twoCellAnchor>
  <xdr:twoCellAnchor editAs="oneCell">
    <xdr:from>
      <xdr:col>2</xdr:col>
      <xdr:colOff>217715</xdr:colOff>
      <xdr:row>27</xdr:row>
      <xdr:rowOff>125184</xdr:rowOff>
    </xdr:from>
    <xdr:to>
      <xdr:col>2</xdr:col>
      <xdr:colOff>431997</xdr:colOff>
      <xdr:row>28</xdr:row>
      <xdr:rowOff>141512</xdr:rowOff>
    </xdr:to>
    <xdr:pic>
      <xdr:nvPicPr>
        <xdr:cNvPr id="15" name="Imagen 14" descr="Sabe usted que es la plataforma de pagos PSE? - Sifer S.A.S">
          <a:extLst>
            <a:ext uri="{FF2B5EF4-FFF2-40B4-BE49-F238E27FC236}">
              <a16:creationId xmlns:a16="http://schemas.microsoft.com/office/drawing/2014/main" id="{37865050-4314-4050-B6B4-3BA21336C3B2}"/>
            </a:ext>
          </a:extLst>
        </xdr:cNvPr>
        <xdr:cNvPicPr>
          <a:picLocks noChangeAspect="1" noChangeArrowheads="1"/>
        </xdr:cNvPicPr>
      </xdr:nvPicPr>
      <xdr:blipFill>
        <a:blip xmlns:r="http://schemas.openxmlformats.org/officeDocument/2006/relationships" r:embed="rId5" cstate="print">
          <a:extLst>
            <a:ext uri="{28A0092B-C50C-407E-A947-70E740481C1C}">
              <a14:useLocalDpi xmlns:a14="http://schemas.microsoft.com/office/drawing/2010/main" val="0"/>
            </a:ext>
          </a:extLst>
        </a:blip>
        <a:srcRect/>
        <a:stretch>
          <a:fillRect/>
        </a:stretch>
      </xdr:blipFill>
      <xdr:spPr bwMode="auto">
        <a:xfrm>
          <a:off x="1680755" y="5154384"/>
          <a:ext cx="214282" cy="1992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217715</xdr:colOff>
      <xdr:row>13</xdr:row>
      <xdr:rowOff>146956</xdr:rowOff>
    </xdr:from>
    <xdr:to>
      <xdr:col>2</xdr:col>
      <xdr:colOff>225881</xdr:colOff>
      <xdr:row>15</xdr:row>
      <xdr:rowOff>35377</xdr:rowOff>
    </xdr:to>
    <xdr:sp macro="" textlink="">
      <xdr:nvSpPr>
        <xdr:cNvPr id="16" name="CuadroTexto 15">
          <a:extLst>
            <a:ext uri="{FF2B5EF4-FFF2-40B4-BE49-F238E27FC236}">
              <a16:creationId xmlns:a16="http://schemas.microsoft.com/office/drawing/2014/main" id="{BF48A250-2524-4DFE-B3FD-84AD4524882A}"/>
            </a:ext>
          </a:extLst>
        </xdr:cNvPr>
        <xdr:cNvSpPr txBox="1"/>
      </xdr:nvSpPr>
      <xdr:spPr>
        <a:xfrm>
          <a:off x="217715" y="2600596"/>
          <a:ext cx="1471206" cy="254181"/>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100">
              <a:solidFill>
                <a:schemeClr val="bg1"/>
              </a:solidFill>
            </a:rPr>
            <a:t>inicio</a:t>
          </a:r>
          <a:r>
            <a:rPr lang="es-CO" sz="1100">
              <a:solidFill>
                <a:schemeClr val="accent5"/>
              </a:solidFill>
            </a:rPr>
            <a:t> </a:t>
          </a:r>
          <a:r>
            <a:rPr lang="es-CO" sz="1100">
              <a:solidFill>
                <a:schemeClr val="bg1"/>
              </a:solidFill>
            </a:rPr>
            <a:t>&gt;</a:t>
          </a:r>
          <a:r>
            <a:rPr lang="es-CO" sz="1100" baseline="0">
              <a:solidFill>
                <a:schemeClr val="bg1"/>
              </a:solidFill>
            </a:rPr>
            <a:t> Formualrio</a:t>
          </a:r>
          <a:endParaRPr lang="es-CO" sz="1100">
            <a:solidFill>
              <a:schemeClr val="bg1"/>
            </a:solidFill>
          </a:endParaRPr>
        </a:p>
      </xdr:txBody>
    </xdr:sp>
    <xdr:clientData/>
  </xdr:twoCellAnchor>
  <xdr:twoCellAnchor>
    <xdr:from>
      <xdr:col>8</xdr:col>
      <xdr:colOff>500743</xdr:colOff>
      <xdr:row>14</xdr:row>
      <xdr:rowOff>87086</xdr:rowOff>
    </xdr:from>
    <xdr:to>
      <xdr:col>9</xdr:col>
      <xdr:colOff>642257</xdr:colOff>
      <xdr:row>15</xdr:row>
      <xdr:rowOff>65314</xdr:rowOff>
    </xdr:to>
    <xdr:cxnSp macro="">
      <xdr:nvCxnSpPr>
        <xdr:cNvPr id="17" name="2 Conector recto de flecha">
          <a:extLst>
            <a:ext uri="{FF2B5EF4-FFF2-40B4-BE49-F238E27FC236}">
              <a16:creationId xmlns:a16="http://schemas.microsoft.com/office/drawing/2014/main" id="{DA4F64B3-469F-401C-A44B-DFFEBAA46326}"/>
            </a:ext>
          </a:extLst>
        </xdr:cNvPr>
        <xdr:cNvCxnSpPr/>
      </xdr:nvCxnSpPr>
      <xdr:spPr>
        <a:xfrm flipH="1" flipV="1">
          <a:off x="6352903" y="2723606"/>
          <a:ext cx="873034" cy="161108"/>
        </a:xfrm>
        <a:prstGeom prst="straightConnector1">
          <a:avLst/>
        </a:prstGeom>
        <a:ln w="19050">
          <a:tailEnd type="arrow"/>
        </a:ln>
        <a:effectLst>
          <a:outerShdw blurRad="50800" dist="38100" dir="8100000" algn="tr" rotWithShape="0">
            <a:prstClr val="black">
              <a:alpha val="40000"/>
            </a:prstClr>
          </a:outerShdw>
        </a:effectLst>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478971</xdr:colOff>
      <xdr:row>15</xdr:row>
      <xdr:rowOff>32657</xdr:rowOff>
    </xdr:from>
    <xdr:to>
      <xdr:col>9</xdr:col>
      <xdr:colOff>620485</xdr:colOff>
      <xdr:row>32</xdr:row>
      <xdr:rowOff>97972</xdr:rowOff>
    </xdr:to>
    <xdr:cxnSp macro="">
      <xdr:nvCxnSpPr>
        <xdr:cNvPr id="18" name="2 Conector recto de flecha">
          <a:extLst>
            <a:ext uri="{FF2B5EF4-FFF2-40B4-BE49-F238E27FC236}">
              <a16:creationId xmlns:a16="http://schemas.microsoft.com/office/drawing/2014/main" id="{1A900293-06C2-4820-8244-32EAF6ED9891}"/>
            </a:ext>
          </a:extLst>
        </xdr:cNvPr>
        <xdr:cNvCxnSpPr/>
      </xdr:nvCxnSpPr>
      <xdr:spPr>
        <a:xfrm flipH="1">
          <a:off x="6331131" y="2852057"/>
          <a:ext cx="873034" cy="3189515"/>
        </a:xfrm>
        <a:prstGeom prst="straightConnector1">
          <a:avLst/>
        </a:prstGeom>
        <a:ln w="19050">
          <a:tailEnd type="arrow"/>
        </a:ln>
        <a:effectLst>
          <a:outerShdw blurRad="50800" dist="38100" dir="8100000" algn="tr" rotWithShape="0">
            <a:prstClr val="black">
              <a:alpha val="40000"/>
            </a:prstClr>
          </a:outerShdw>
        </a:effectLst>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685800</xdr:colOff>
      <xdr:row>21</xdr:row>
      <xdr:rowOff>108857</xdr:rowOff>
    </xdr:from>
    <xdr:to>
      <xdr:col>9</xdr:col>
      <xdr:colOff>642257</xdr:colOff>
      <xdr:row>25</xdr:row>
      <xdr:rowOff>108857</xdr:rowOff>
    </xdr:to>
    <xdr:cxnSp macro="">
      <xdr:nvCxnSpPr>
        <xdr:cNvPr id="19" name="2 Conector recto de flecha">
          <a:extLst>
            <a:ext uri="{FF2B5EF4-FFF2-40B4-BE49-F238E27FC236}">
              <a16:creationId xmlns:a16="http://schemas.microsoft.com/office/drawing/2014/main" id="{7C8662A7-2844-4208-8ABD-4816E454BA9F}"/>
            </a:ext>
          </a:extLst>
        </xdr:cNvPr>
        <xdr:cNvCxnSpPr/>
      </xdr:nvCxnSpPr>
      <xdr:spPr>
        <a:xfrm flipH="1">
          <a:off x="5074920" y="4033157"/>
          <a:ext cx="2151017" cy="731520"/>
        </a:xfrm>
        <a:prstGeom prst="straightConnector1">
          <a:avLst/>
        </a:prstGeom>
        <a:ln w="19050">
          <a:tailEnd type="arrow"/>
        </a:ln>
        <a:effectLst>
          <a:outerShdw blurRad="50800" dist="38100" dir="8100000" algn="tr" rotWithShape="0">
            <a:prstClr val="black">
              <a:alpha val="40000"/>
            </a:prstClr>
          </a:outerShdw>
        </a:effectLst>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348343</xdr:colOff>
      <xdr:row>18</xdr:row>
      <xdr:rowOff>97971</xdr:rowOff>
    </xdr:from>
    <xdr:to>
      <xdr:col>9</xdr:col>
      <xdr:colOff>696686</xdr:colOff>
      <xdr:row>19</xdr:row>
      <xdr:rowOff>21771</xdr:rowOff>
    </xdr:to>
    <xdr:cxnSp macro="">
      <xdr:nvCxnSpPr>
        <xdr:cNvPr id="20" name="2 Conector recto de flecha">
          <a:extLst>
            <a:ext uri="{FF2B5EF4-FFF2-40B4-BE49-F238E27FC236}">
              <a16:creationId xmlns:a16="http://schemas.microsoft.com/office/drawing/2014/main" id="{93924D3A-1A7B-44D8-B3DA-26B3975EE6B2}"/>
            </a:ext>
          </a:extLst>
        </xdr:cNvPr>
        <xdr:cNvCxnSpPr/>
      </xdr:nvCxnSpPr>
      <xdr:spPr>
        <a:xfrm flipH="1">
          <a:off x="6200503" y="3473631"/>
          <a:ext cx="1079863" cy="106680"/>
        </a:xfrm>
        <a:prstGeom prst="straightConnector1">
          <a:avLst/>
        </a:prstGeom>
        <a:ln w="19050">
          <a:tailEnd type="arrow"/>
        </a:ln>
        <a:effectLst>
          <a:outerShdw blurRad="50800" dist="38100" dir="8100000" algn="tr" rotWithShape="0">
            <a:prstClr val="black">
              <a:alpha val="40000"/>
            </a:prstClr>
          </a:outerShdw>
        </a:effectLst>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484909</xdr:colOff>
      <xdr:row>115</xdr:row>
      <xdr:rowOff>70139</xdr:rowOff>
    </xdr:from>
    <xdr:to>
      <xdr:col>9</xdr:col>
      <xdr:colOff>660689</xdr:colOff>
      <xdr:row>116</xdr:row>
      <xdr:rowOff>86591</xdr:rowOff>
    </xdr:to>
    <xdr:cxnSp macro="">
      <xdr:nvCxnSpPr>
        <xdr:cNvPr id="21" name="8 Conector recto de flecha">
          <a:extLst>
            <a:ext uri="{FF2B5EF4-FFF2-40B4-BE49-F238E27FC236}">
              <a16:creationId xmlns:a16="http://schemas.microsoft.com/office/drawing/2014/main" id="{FD0DAD1C-C425-4920-A15A-CDD51973A6F0}"/>
            </a:ext>
          </a:extLst>
        </xdr:cNvPr>
        <xdr:cNvCxnSpPr/>
      </xdr:nvCxnSpPr>
      <xdr:spPr>
        <a:xfrm flipH="1">
          <a:off x="4874029" y="18952499"/>
          <a:ext cx="2370340" cy="206952"/>
        </a:xfrm>
        <a:prstGeom prst="straightConnector1">
          <a:avLst/>
        </a:prstGeom>
        <a:ln w="19050">
          <a:tailEnd type="arrow"/>
        </a:ln>
        <a:effectLst>
          <a:outerShdw blurRad="50800" dist="38100" dir="8100000" algn="tr" rotWithShape="0">
            <a:prstClr val="black">
              <a:alpha val="40000"/>
            </a:prstClr>
          </a:outerShdw>
        </a:effectLst>
      </xdr:spPr>
      <xdr:style>
        <a:lnRef idx="1">
          <a:schemeClr val="dk1"/>
        </a:lnRef>
        <a:fillRef idx="0">
          <a:schemeClr val="dk1"/>
        </a:fillRef>
        <a:effectRef idx="0">
          <a:schemeClr val="dk1"/>
        </a:effectRef>
        <a:fontRef idx="minor">
          <a:schemeClr val="tx1"/>
        </a:fontRef>
      </xdr:style>
    </xdr:cxnSp>
    <xdr:clientData/>
  </xdr:twoCellAnchor>
  <mc:AlternateContent xmlns:mc="http://schemas.openxmlformats.org/markup-compatibility/2006">
    <mc:Choice xmlns:a14="http://schemas.microsoft.com/office/drawing/2010/main" Requires="a14">
      <xdr:twoCellAnchor>
        <xdr:from>
          <xdr:col>10</xdr:col>
          <xdr:colOff>365760</xdr:colOff>
          <xdr:row>125</xdr:row>
          <xdr:rowOff>38100</xdr:rowOff>
        </xdr:from>
        <xdr:to>
          <xdr:col>10</xdr:col>
          <xdr:colOff>1943100</xdr:colOff>
          <xdr:row>128</xdr:row>
          <xdr:rowOff>152400</xdr:rowOff>
        </xdr:to>
        <xdr:sp macro="" textlink="">
          <xdr:nvSpPr>
            <xdr:cNvPr id="35843" name="Button 3" hidden="1">
              <a:extLst>
                <a:ext uri="{63B3BB69-23CF-44E3-9099-C40C66FF867C}">
                  <a14:compatExt spid="_x0000_s35843"/>
                </a:ext>
                <a:ext uri="{FF2B5EF4-FFF2-40B4-BE49-F238E27FC236}">
                  <a16:creationId xmlns:a16="http://schemas.microsoft.com/office/drawing/2014/main" id="{00000000-0008-0000-0500-0000038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CO" sz="1400" b="0" i="0" u="none" strike="noStrike" baseline="0">
                  <a:solidFill>
                    <a:srgbClr val="000000"/>
                  </a:solidFill>
                  <a:latin typeface="Calibri"/>
                  <a:cs typeface="Calibri"/>
                </a:rPr>
                <a:t>Simular color</a:t>
              </a:r>
            </a:p>
          </xdr:txBody>
        </xdr:sp>
        <xdr:clientData fPrintsWithSheet="0"/>
      </xdr:twoCellAnchor>
    </mc:Choice>
    <mc:Fallback/>
  </mc:AlternateContent>
  <xdr:twoCellAnchor>
    <xdr:from>
      <xdr:col>6</xdr:col>
      <xdr:colOff>692727</xdr:colOff>
      <xdr:row>112</xdr:row>
      <xdr:rowOff>103909</xdr:rowOff>
    </xdr:from>
    <xdr:to>
      <xdr:col>9</xdr:col>
      <xdr:colOff>623455</xdr:colOff>
      <xdr:row>115</xdr:row>
      <xdr:rowOff>51954</xdr:rowOff>
    </xdr:to>
    <xdr:cxnSp macro="">
      <xdr:nvCxnSpPr>
        <xdr:cNvPr id="22" name="8 Conector recto de flecha">
          <a:extLst>
            <a:ext uri="{FF2B5EF4-FFF2-40B4-BE49-F238E27FC236}">
              <a16:creationId xmlns:a16="http://schemas.microsoft.com/office/drawing/2014/main" id="{210539E5-137E-42AD-8AC6-6EBF0C927E5D}"/>
            </a:ext>
          </a:extLst>
        </xdr:cNvPr>
        <xdr:cNvCxnSpPr/>
      </xdr:nvCxnSpPr>
      <xdr:spPr>
        <a:xfrm flipH="1" flipV="1">
          <a:off x="5081847" y="18437629"/>
          <a:ext cx="2125288" cy="496685"/>
        </a:xfrm>
        <a:prstGeom prst="straightConnector1">
          <a:avLst/>
        </a:prstGeom>
        <a:ln w="19050">
          <a:tailEnd type="arrow"/>
        </a:ln>
        <a:effectLst>
          <a:outerShdw blurRad="50800" dist="38100" dir="8100000" algn="tr" rotWithShape="0">
            <a:prstClr val="black">
              <a:alpha val="40000"/>
            </a:prstClr>
          </a:outerShdw>
        </a:effectLst>
      </xdr:spPr>
      <xdr:style>
        <a:lnRef idx="1">
          <a:schemeClr val="dk1"/>
        </a:lnRef>
        <a:fillRef idx="0">
          <a:schemeClr val="dk1"/>
        </a:fillRef>
        <a:effectRef idx="0">
          <a:schemeClr val="dk1"/>
        </a:effectRef>
        <a:fontRef idx="minor">
          <a:schemeClr val="tx1"/>
        </a:fontRef>
      </xdr:style>
    </xdr:cxnSp>
    <xdr:clientData/>
  </xdr:twoCellAnchor>
  <xdr:twoCellAnchor>
    <xdr:from>
      <xdr:col>7</xdr:col>
      <xdr:colOff>640773</xdr:colOff>
      <xdr:row>115</xdr:row>
      <xdr:rowOff>69272</xdr:rowOff>
    </xdr:from>
    <xdr:to>
      <xdr:col>9</xdr:col>
      <xdr:colOff>606136</xdr:colOff>
      <xdr:row>131</xdr:row>
      <xdr:rowOff>103909</xdr:rowOff>
    </xdr:to>
    <xdr:cxnSp macro="">
      <xdr:nvCxnSpPr>
        <xdr:cNvPr id="23" name="8 Conector recto de flecha">
          <a:extLst>
            <a:ext uri="{FF2B5EF4-FFF2-40B4-BE49-F238E27FC236}">
              <a16:creationId xmlns:a16="http://schemas.microsoft.com/office/drawing/2014/main" id="{8ACD66A7-3C8B-4AE3-8B3A-8D241EBC82E1}"/>
            </a:ext>
          </a:extLst>
        </xdr:cNvPr>
        <xdr:cNvCxnSpPr/>
      </xdr:nvCxnSpPr>
      <xdr:spPr>
        <a:xfrm flipH="1">
          <a:off x="5761413" y="18951632"/>
          <a:ext cx="1428403" cy="2975957"/>
        </a:xfrm>
        <a:prstGeom prst="straightConnector1">
          <a:avLst/>
        </a:prstGeom>
        <a:ln w="19050">
          <a:tailEnd type="arrow"/>
        </a:ln>
        <a:effectLst>
          <a:outerShdw blurRad="50800" dist="38100" dir="8100000" algn="tr" rotWithShape="0">
            <a:prstClr val="black">
              <a:alpha val="40000"/>
            </a:prstClr>
          </a:outerShdw>
        </a:effectLst>
      </xdr:spPr>
      <xdr:style>
        <a:lnRef idx="1">
          <a:schemeClr val="dk1"/>
        </a:lnRef>
        <a:fillRef idx="0">
          <a:schemeClr val="dk1"/>
        </a:fillRef>
        <a:effectRef idx="0">
          <a:schemeClr val="dk1"/>
        </a:effectRef>
        <a:fontRef idx="minor">
          <a:schemeClr val="tx1"/>
        </a:fontRef>
      </xdr:style>
    </xdr:cxnSp>
    <xdr:clientData/>
  </xdr:twoCellAnchor>
  <xdr:twoCellAnchor>
    <xdr:from>
      <xdr:col>8</xdr:col>
      <xdr:colOff>398318</xdr:colOff>
      <xdr:row>117</xdr:row>
      <xdr:rowOff>103909</xdr:rowOff>
    </xdr:from>
    <xdr:to>
      <xdr:col>9</xdr:col>
      <xdr:colOff>695325</xdr:colOff>
      <xdr:row>118</xdr:row>
      <xdr:rowOff>69273</xdr:rowOff>
    </xdr:to>
    <xdr:cxnSp macro="">
      <xdr:nvCxnSpPr>
        <xdr:cNvPr id="24" name="8 Conector recto de flecha">
          <a:extLst>
            <a:ext uri="{FF2B5EF4-FFF2-40B4-BE49-F238E27FC236}">
              <a16:creationId xmlns:a16="http://schemas.microsoft.com/office/drawing/2014/main" id="{E78368A5-2FED-4DBE-9CBD-FE58F9964C00}"/>
            </a:ext>
          </a:extLst>
        </xdr:cNvPr>
        <xdr:cNvCxnSpPr/>
      </xdr:nvCxnSpPr>
      <xdr:spPr>
        <a:xfrm flipH="1">
          <a:off x="6250478" y="19359649"/>
          <a:ext cx="1028527" cy="148244"/>
        </a:xfrm>
        <a:prstGeom prst="straightConnector1">
          <a:avLst/>
        </a:prstGeom>
        <a:ln w="19050">
          <a:tailEnd type="arrow"/>
        </a:ln>
        <a:effectLst>
          <a:outerShdw blurRad="50800" dist="38100" dir="8100000" algn="tr" rotWithShape="0">
            <a:prstClr val="black">
              <a:alpha val="40000"/>
            </a:prstClr>
          </a:outerShdw>
        </a:effectLst>
      </xdr:spPr>
      <xdr:style>
        <a:lnRef idx="1">
          <a:schemeClr val="dk1"/>
        </a:lnRef>
        <a:fillRef idx="0">
          <a:schemeClr val="dk1"/>
        </a:fillRef>
        <a:effectRef idx="0">
          <a:schemeClr val="dk1"/>
        </a:effectRef>
        <a:fontRef idx="minor">
          <a:schemeClr val="tx1"/>
        </a:fontRef>
      </xdr:style>
    </xdr:cxnSp>
    <xdr:clientData/>
  </xdr:twoCellAnchor>
  <xdr:twoCellAnchor>
    <xdr:from>
      <xdr:col>6</xdr:col>
      <xdr:colOff>606136</xdr:colOff>
      <xdr:row>120</xdr:row>
      <xdr:rowOff>86591</xdr:rowOff>
    </xdr:from>
    <xdr:to>
      <xdr:col>9</xdr:col>
      <xdr:colOff>623455</xdr:colOff>
      <xdr:row>123</xdr:row>
      <xdr:rowOff>103909</xdr:rowOff>
    </xdr:to>
    <xdr:cxnSp macro="">
      <xdr:nvCxnSpPr>
        <xdr:cNvPr id="25" name="8 Conector recto de flecha">
          <a:extLst>
            <a:ext uri="{FF2B5EF4-FFF2-40B4-BE49-F238E27FC236}">
              <a16:creationId xmlns:a16="http://schemas.microsoft.com/office/drawing/2014/main" id="{D4F24FB8-4415-4B2C-807D-551D61E99BCF}"/>
            </a:ext>
          </a:extLst>
        </xdr:cNvPr>
        <xdr:cNvCxnSpPr/>
      </xdr:nvCxnSpPr>
      <xdr:spPr>
        <a:xfrm flipH="1">
          <a:off x="4995256" y="19890971"/>
          <a:ext cx="2211879" cy="565958"/>
        </a:xfrm>
        <a:prstGeom prst="straightConnector1">
          <a:avLst/>
        </a:prstGeom>
        <a:ln w="19050">
          <a:tailEnd type="arrow"/>
        </a:ln>
        <a:effectLst>
          <a:outerShdw blurRad="50800" dist="38100" dir="8100000" algn="tr" rotWithShape="0">
            <a:prstClr val="black">
              <a:alpha val="40000"/>
            </a:prstClr>
          </a:outerShdw>
        </a:effectLst>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2</xdr:col>
      <xdr:colOff>204108</xdr:colOff>
      <xdr:row>131</xdr:row>
      <xdr:rowOff>106517</xdr:rowOff>
    </xdr:from>
    <xdr:to>
      <xdr:col>5</xdr:col>
      <xdr:colOff>204108</xdr:colOff>
      <xdr:row>134</xdr:row>
      <xdr:rowOff>133597</xdr:rowOff>
    </xdr:to>
    <xdr:pic>
      <xdr:nvPicPr>
        <xdr:cNvPr id="26" name="Imagen 25">
          <a:extLst>
            <a:ext uri="{FF2B5EF4-FFF2-40B4-BE49-F238E27FC236}">
              <a16:creationId xmlns:a16="http://schemas.microsoft.com/office/drawing/2014/main" id="{D0C5EC64-76CD-4B53-B5F1-007B80FA1CBC}"/>
            </a:ext>
          </a:extLst>
        </xdr:cNvPr>
        <xdr:cNvPicPr>
          <a:picLocks noChangeAspect="1"/>
        </xdr:cNvPicPr>
      </xdr:nvPicPr>
      <xdr:blipFill>
        <a:blip xmlns:r="http://schemas.openxmlformats.org/officeDocument/2006/relationships" r:embed="rId3"/>
        <a:stretch>
          <a:fillRect/>
        </a:stretch>
      </xdr:blipFill>
      <xdr:spPr>
        <a:xfrm>
          <a:off x="1667148" y="21930197"/>
          <a:ext cx="2194560" cy="575719"/>
        </a:xfrm>
        <a:prstGeom prst="rect">
          <a:avLst/>
        </a:prstGeom>
      </xdr:spPr>
    </xdr:pic>
    <xdr:clientData/>
  </xdr:twoCellAnchor>
  <xdr:oneCellAnchor>
    <xdr:from>
      <xdr:col>5</xdr:col>
      <xdr:colOff>231321</xdr:colOff>
      <xdr:row>132</xdr:row>
      <xdr:rowOff>160357</xdr:rowOff>
    </xdr:from>
    <xdr:ext cx="3442855" cy="186269"/>
    <xdr:sp macro="" textlink="">
      <xdr:nvSpPr>
        <xdr:cNvPr id="27" name="CuadroTexto 26">
          <a:extLst>
            <a:ext uri="{FF2B5EF4-FFF2-40B4-BE49-F238E27FC236}">
              <a16:creationId xmlns:a16="http://schemas.microsoft.com/office/drawing/2014/main" id="{CCFF0090-BC40-4272-9A05-DDF32ECAE849}"/>
            </a:ext>
          </a:extLst>
        </xdr:cNvPr>
        <xdr:cNvSpPr txBox="1"/>
      </xdr:nvSpPr>
      <xdr:spPr>
        <a:xfrm>
          <a:off x="3888921" y="22166917"/>
          <a:ext cx="3442855" cy="18626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s-CO" sz="600">
              <a:solidFill>
                <a:schemeClr val="bg1"/>
              </a:solidFill>
            </a:rPr>
            <a:t>Todos los derechos reservados ©. Sitio administrado por: ACH Colombia S.A</a:t>
          </a:r>
        </a:p>
      </xdr:txBody>
    </xdr:sp>
    <xdr:clientData/>
  </xdr:oneCellAnchor>
  <xdr:twoCellAnchor editAs="oneCell">
    <xdr:from>
      <xdr:col>0</xdr:col>
      <xdr:colOff>176893</xdr:colOff>
      <xdr:row>132</xdr:row>
      <xdr:rowOff>129466</xdr:rowOff>
    </xdr:from>
    <xdr:to>
      <xdr:col>1</xdr:col>
      <xdr:colOff>544285</xdr:colOff>
      <xdr:row>133</xdr:row>
      <xdr:rowOff>69767</xdr:rowOff>
    </xdr:to>
    <xdr:pic>
      <xdr:nvPicPr>
        <xdr:cNvPr id="28" name="Imagen 27">
          <a:extLst>
            <a:ext uri="{FF2B5EF4-FFF2-40B4-BE49-F238E27FC236}">
              <a16:creationId xmlns:a16="http://schemas.microsoft.com/office/drawing/2014/main" id="{CF23C30B-F50D-462A-AE30-EB911E1BC99A}"/>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76893" y="22136026"/>
          <a:ext cx="1098912" cy="12318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xdr:col>
      <xdr:colOff>68035</xdr:colOff>
      <xdr:row>110</xdr:row>
      <xdr:rowOff>136071</xdr:rowOff>
    </xdr:from>
    <xdr:to>
      <xdr:col>2</xdr:col>
      <xdr:colOff>190500</xdr:colOff>
      <xdr:row>113</xdr:row>
      <xdr:rowOff>27213</xdr:rowOff>
    </xdr:to>
    <xdr:sp macro="" textlink="">
      <xdr:nvSpPr>
        <xdr:cNvPr id="29" name="CuadroTexto 28">
          <a:extLst>
            <a:ext uri="{FF2B5EF4-FFF2-40B4-BE49-F238E27FC236}">
              <a16:creationId xmlns:a16="http://schemas.microsoft.com/office/drawing/2014/main" id="{35CE36EA-4C3E-44AE-BEFB-D86D5B7568DF}"/>
            </a:ext>
          </a:extLst>
        </xdr:cNvPr>
        <xdr:cNvSpPr txBox="1"/>
      </xdr:nvSpPr>
      <xdr:spPr>
        <a:xfrm>
          <a:off x="799555" y="18104031"/>
          <a:ext cx="853985" cy="439782"/>
        </a:xfrm>
        <a:prstGeom prst="rect">
          <a:avLst/>
        </a:prstGeom>
        <a:ln/>
      </xdr:spPr>
      <xdr:style>
        <a:lnRef idx="1">
          <a:schemeClr val="dk1"/>
        </a:lnRef>
        <a:fillRef idx="2">
          <a:schemeClr val="dk1"/>
        </a:fillRef>
        <a:effectRef idx="1">
          <a:schemeClr val="dk1"/>
        </a:effectRef>
        <a:fontRef idx="minor">
          <a:schemeClr val="dk1"/>
        </a:fontRef>
      </xdr:style>
      <xdr:txBody>
        <a:bodyPr vertOverflow="clip" horzOverflow="clip" wrap="square" rtlCol="0" anchor="t"/>
        <a:lstStyle/>
        <a:p>
          <a:r>
            <a:rPr lang="es-CO" sz="1100">
              <a:effectLst>
                <a:reflection blurRad="6350" stA="55000" endA="300" endPos="45500" dir="5400000" sy="-100000" algn="bl" rotWithShape="0"/>
              </a:effectLst>
            </a:rPr>
            <a:t>LOG</a:t>
          </a:r>
          <a:r>
            <a:rPr lang="es-CO" sz="1100" baseline="0">
              <a:effectLst>
                <a:reflection blurRad="6350" stA="55000" endA="300" endPos="45500" dir="5400000" sy="-100000" algn="bl" rotWithShape="0"/>
              </a:effectLst>
            </a:rPr>
            <a:t> DE LA EMPRESA</a:t>
          </a:r>
          <a:endParaRPr lang="es-CO" sz="1100">
            <a:effectLst>
              <a:reflection blurRad="6350" stA="55000" endA="300" endPos="45500" dir="5400000" sy="-100000" algn="bl" rotWithShape="0"/>
            </a:effectLst>
          </a:endParaRPr>
        </a:p>
      </xdr:txBody>
    </xdr:sp>
    <xdr:clientData/>
  </xdr:twoCellAnchor>
  <xdr:twoCellAnchor>
    <xdr:from>
      <xdr:col>3</xdr:col>
      <xdr:colOff>666749</xdr:colOff>
      <xdr:row>110</xdr:row>
      <xdr:rowOff>176892</xdr:rowOff>
    </xdr:from>
    <xdr:to>
      <xdr:col>6</xdr:col>
      <xdr:colOff>653142</xdr:colOff>
      <xdr:row>112</xdr:row>
      <xdr:rowOff>95250</xdr:rowOff>
    </xdr:to>
    <xdr:sp macro="" textlink="">
      <xdr:nvSpPr>
        <xdr:cNvPr id="30" name="CuadroTexto 29">
          <a:extLst>
            <a:ext uri="{FF2B5EF4-FFF2-40B4-BE49-F238E27FC236}">
              <a16:creationId xmlns:a16="http://schemas.microsoft.com/office/drawing/2014/main" id="{9967CBC0-708B-4D30-9F14-F7BD1D352AD9}"/>
            </a:ext>
          </a:extLst>
        </xdr:cNvPr>
        <xdr:cNvSpPr txBox="1"/>
      </xdr:nvSpPr>
      <xdr:spPr>
        <a:xfrm>
          <a:off x="2861309" y="18144852"/>
          <a:ext cx="2180953" cy="284118"/>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100">
              <a:solidFill>
                <a:schemeClr val="bg1"/>
              </a:solidFill>
            </a:rPr>
            <a:t>Comercio</a:t>
          </a:r>
          <a:r>
            <a:rPr lang="es-CO" sz="1100" baseline="0">
              <a:solidFill>
                <a:schemeClr val="bg1"/>
              </a:solidFill>
            </a:rPr>
            <a:t> Prueba</a:t>
          </a:r>
          <a:endParaRPr lang="es-CO" sz="1100">
            <a:solidFill>
              <a:schemeClr val="bg1"/>
            </a:solidFill>
          </a:endParaRPr>
        </a:p>
      </xdr:txBody>
    </xdr:sp>
    <xdr:clientData/>
  </xdr:twoCellAnchor>
  <xdr:twoCellAnchor>
    <xdr:from>
      <xdr:col>3</xdr:col>
      <xdr:colOff>612321</xdr:colOff>
      <xdr:row>115</xdr:row>
      <xdr:rowOff>176892</xdr:rowOff>
    </xdr:from>
    <xdr:to>
      <xdr:col>6</xdr:col>
      <xdr:colOff>503465</xdr:colOff>
      <xdr:row>117</xdr:row>
      <xdr:rowOff>27214</xdr:rowOff>
    </xdr:to>
    <xdr:sp macro="" textlink="">
      <xdr:nvSpPr>
        <xdr:cNvPr id="31" name="CuadroTexto 30">
          <a:extLst>
            <a:ext uri="{FF2B5EF4-FFF2-40B4-BE49-F238E27FC236}">
              <a16:creationId xmlns:a16="http://schemas.microsoft.com/office/drawing/2014/main" id="{12BE5414-A598-4427-8E81-49A83502703C}"/>
            </a:ext>
          </a:extLst>
        </xdr:cNvPr>
        <xdr:cNvSpPr txBox="1"/>
      </xdr:nvSpPr>
      <xdr:spPr>
        <a:xfrm>
          <a:off x="2806881" y="19059252"/>
          <a:ext cx="2085704" cy="223702"/>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050">
              <a:solidFill>
                <a:schemeClr val="bg1"/>
              </a:solidFill>
            </a:rPr>
            <a:t>DATOS</a:t>
          </a:r>
          <a:r>
            <a:rPr lang="es-CO" sz="1050" baseline="0">
              <a:solidFill>
                <a:schemeClr val="bg1"/>
              </a:solidFill>
            </a:rPr>
            <a:t> DE LA TAQUILLA</a:t>
          </a:r>
          <a:endParaRPr lang="es-CO" sz="1050">
            <a:solidFill>
              <a:schemeClr val="bg1"/>
            </a:solidFill>
          </a:endParaRPr>
        </a:p>
      </xdr:txBody>
    </xdr:sp>
    <xdr:clientData/>
  </xdr:twoCellAnchor>
  <xdr:twoCellAnchor>
    <xdr:from>
      <xdr:col>3</xdr:col>
      <xdr:colOff>478971</xdr:colOff>
      <xdr:row>117</xdr:row>
      <xdr:rowOff>57150</xdr:rowOff>
    </xdr:from>
    <xdr:to>
      <xdr:col>7</xdr:col>
      <xdr:colOff>190500</xdr:colOff>
      <xdr:row>122</xdr:row>
      <xdr:rowOff>95250</xdr:rowOff>
    </xdr:to>
    <xdr:sp macro="" textlink="">
      <xdr:nvSpPr>
        <xdr:cNvPr id="32" name="CuadroTexto 31">
          <a:extLst>
            <a:ext uri="{FF2B5EF4-FFF2-40B4-BE49-F238E27FC236}">
              <a16:creationId xmlns:a16="http://schemas.microsoft.com/office/drawing/2014/main" id="{CE69A847-962A-4C0D-9528-596BA47F3B5D}"/>
            </a:ext>
          </a:extLst>
        </xdr:cNvPr>
        <xdr:cNvSpPr txBox="1"/>
      </xdr:nvSpPr>
      <xdr:spPr>
        <a:xfrm>
          <a:off x="2673531" y="19312890"/>
          <a:ext cx="2637609" cy="952500"/>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800" b="1">
              <a:solidFill>
                <a:sysClr val="windowText" lastClr="000000"/>
              </a:solidFill>
            </a:rPr>
            <a:t>ESPACIO</a:t>
          </a:r>
          <a:r>
            <a:rPr lang="es-CO" sz="1800" b="1" baseline="0">
              <a:solidFill>
                <a:sysClr val="windowText" lastClr="000000"/>
              </a:solidFill>
            </a:rPr>
            <a:t> PARA LA INFORMACION TRANSACCIONAL</a:t>
          </a:r>
          <a:endParaRPr lang="es-CO" sz="1800" b="1">
            <a:solidFill>
              <a:sysClr val="windowText" lastClr="000000"/>
            </a:solidFill>
          </a:endParaRPr>
        </a:p>
      </xdr:txBody>
    </xdr:sp>
    <xdr:clientData/>
  </xdr:twoCellAnchor>
  <xdr:twoCellAnchor>
    <xdr:from>
      <xdr:col>6</xdr:col>
      <xdr:colOff>97971</xdr:colOff>
      <xdr:row>122</xdr:row>
      <xdr:rowOff>163285</xdr:rowOff>
    </xdr:from>
    <xdr:to>
      <xdr:col>7</xdr:col>
      <xdr:colOff>244929</xdr:colOff>
      <xdr:row>124</xdr:row>
      <xdr:rowOff>57149</xdr:rowOff>
    </xdr:to>
    <xdr:sp macro="" textlink="">
      <xdr:nvSpPr>
        <xdr:cNvPr id="33" name="CuadroTexto 32">
          <a:extLst>
            <a:ext uri="{FF2B5EF4-FFF2-40B4-BE49-F238E27FC236}">
              <a16:creationId xmlns:a16="http://schemas.microsoft.com/office/drawing/2014/main" id="{9311585A-E3F4-4D42-8F09-C14646FC2D63}"/>
            </a:ext>
          </a:extLst>
        </xdr:cNvPr>
        <xdr:cNvSpPr txBox="1"/>
      </xdr:nvSpPr>
      <xdr:spPr>
        <a:xfrm>
          <a:off x="4487091" y="20333425"/>
          <a:ext cx="878478" cy="259624"/>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100">
              <a:solidFill>
                <a:schemeClr val="bg1"/>
              </a:solidFill>
            </a:rPr>
            <a:t>Pagar</a:t>
          </a:r>
        </a:p>
      </xdr:txBody>
    </xdr:sp>
    <xdr:clientData/>
  </xdr:twoCellAnchor>
  <xdr:twoCellAnchor>
    <xdr:from>
      <xdr:col>0</xdr:col>
      <xdr:colOff>672192</xdr:colOff>
      <xdr:row>113</xdr:row>
      <xdr:rowOff>152400</xdr:rowOff>
    </xdr:from>
    <xdr:to>
      <xdr:col>2</xdr:col>
      <xdr:colOff>680358</xdr:colOff>
      <xdr:row>115</xdr:row>
      <xdr:rowOff>40821</xdr:rowOff>
    </xdr:to>
    <xdr:sp macro="" textlink="">
      <xdr:nvSpPr>
        <xdr:cNvPr id="34" name="CuadroTexto 33">
          <a:extLst>
            <a:ext uri="{FF2B5EF4-FFF2-40B4-BE49-F238E27FC236}">
              <a16:creationId xmlns:a16="http://schemas.microsoft.com/office/drawing/2014/main" id="{59984D82-E59D-4EF7-80CA-BD8F984FCBDD}"/>
            </a:ext>
          </a:extLst>
        </xdr:cNvPr>
        <xdr:cNvSpPr txBox="1"/>
      </xdr:nvSpPr>
      <xdr:spPr>
        <a:xfrm>
          <a:off x="672192" y="18669000"/>
          <a:ext cx="1471206" cy="254181"/>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CO" sz="1100">
              <a:solidFill>
                <a:schemeClr val="bg1"/>
              </a:solidFill>
            </a:rPr>
            <a:t>inicio</a:t>
          </a:r>
          <a:r>
            <a:rPr lang="es-CO" sz="1100">
              <a:solidFill>
                <a:schemeClr val="accent5"/>
              </a:solidFill>
            </a:rPr>
            <a:t> </a:t>
          </a:r>
          <a:r>
            <a:rPr lang="es-CO" sz="1100">
              <a:solidFill>
                <a:schemeClr val="bg1"/>
              </a:solidFill>
            </a:rPr>
            <a:t>&gt;</a:t>
          </a:r>
          <a:r>
            <a:rPr lang="es-CO" sz="1100" baseline="0">
              <a:solidFill>
                <a:schemeClr val="bg1"/>
              </a:solidFill>
            </a:rPr>
            <a:t> Formualrio</a:t>
          </a:r>
          <a:endParaRPr lang="es-CO" sz="1100">
            <a:solidFill>
              <a:schemeClr val="bg1"/>
            </a:solidFill>
          </a:endParaRPr>
        </a:p>
      </xdr:txBody>
    </xdr:sp>
    <xdr:clientData/>
  </xdr:twoCellAnchor>
  <xdr:twoCellAnchor editAs="oneCell">
    <xdr:from>
      <xdr:col>1</xdr:col>
      <xdr:colOff>40818</xdr:colOff>
      <xdr:row>115</xdr:row>
      <xdr:rowOff>81642</xdr:rowOff>
    </xdr:from>
    <xdr:to>
      <xdr:col>1</xdr:col>
      <xdr:colOff>707571</xdr:colOff>
      <xdr:row>126</xdr:row>
      <xdr:rowOff>51505</xdr:rowOff>
    </xdr:to>
    <xdr:pic>
      <xdr:nvPicPr>
        <xdr:cNvPr id="35" name="Imagen 34">
          <a:extLst>
            <a:ext uri="{FF2B5EF4-FFF2-40B4-BE49-F238E27FC236}">
              <a16:creationId xmlns:a16="http://schemas.microsoft.com/office/drawing/2014/main" id="{7B593921-9B92-48B2-B4FB-D1CB583A22DA}"/>
            </a:ext>
          </a:extLst>
        </xdr:cNvPr>
        <xdr:cNvPicPr>
          <a:picLocks noChangeAspect="1"/>
        </xdr:cNvPicPr>
      </xdr:nvPicPr>
      <xdr:blipFill>
        <a:blip xmlns:r="http://schemas.openxmlformats.org/officeDocument/2006/relationships" r:embed="rId6"/>
        <a:stretch>
          <a:fillRect/>
        </a:stretch>
      </xdr:blipFill>
      <xdr:spPr>
        <a:xfrm>
          <a:off x="772338" y="18964002"/>
          <a:ext cx="666753" cy="1996783"/>
        </a:xfrm>
        <a:prstGeom prst="rect">
          <a:avLst/>
        </a:prstGeom>
      </xdr:spPr>
    </xdr:pic>
    <xdr:clientData/>
  </xdr:twoCellAnchor>
  <xdr:twoCellAnchor editAs="oneCell">
    <xdr:from>
      <xdr:col>1</xdr:col>
      <xdr:colOff>1</xdr:colOff>
      <xdr:row>129</xdr:row>
      <xdr:rowOff>117279</xdr:rowOff>
    </xdr:from>
    <xdr:to>
      <xdr:col>1</xdr:col>
      <xdr:colOff>520927</xdr:colOff>
      <xdr:row>130</xdr:row>
      <xdr:rowOff>122587</xdr:rowOff>
    </xdr:to>
    <xdr:pic>
      <xdr:nvPicPr>
        <xdr:cNvPr id="36" name="Imagen 35">
          <a:extLst>
            <a:ext uri="{FF2B5EF4-FFF2-40B4-BE49-F238E27FC236}">
              <a16:creationId xmlns:a16="http://schemas.microsoft.com/office/drawing/2014/main" id="{2AD14EFA-DBC0-406A-BFA6-EF7CA7898499}"/>
            </a:ext>
          </a:extLst>
        </xdr:cNvPr>
        <xdr:cNvPicPr>
          <a:picLocks noChangeAspect="1"/>
        </xdr:cNvPicPr>
      </xdr:nvPicPr>
      <xdr:blipFill>
        <a:blip xmlns:r="http://schemas.openxmlformats.org/officeDocument/2006/relationships" r:embed="rId1"/>
        <a:stretch>
          <a:fillRect/>
        </a:stretch>
      </xdr:blipFill>
      <xdr:spPr>
        <a:xfrm>
          <a:off x="731521" y="21575199"/>
          <a:ext cx="520926" cy="188189"/>
        </a:xfrm>
        <a:prstGeom prst="rect">
          <a:avLst/>
        </a:prstGeom>
      </xdr:spPr>
    </xdr:pic>
    <xdr:clientData/>
  </xdr:twoCellAnchor>
  <xdr:twoCellAnchor editAs="oneCell">
    <xdr:from>
      <xdr:col>1</xdr:col>
      <xdr:colOff>77933</xdr:colOff>
      <xdr:row>128</xdr:row>
      <xdr:rowOff>9658</xdr:rowOff>
    </xdr:from>
    <xdr:to>
      <xdr:col>1</xdr:col>
      <xdr:colOff>530679</xdr:colOff>
      <xdr:row>129</xdr:row>
      <xdr:rowOff>14967</xdr:rowOff>
    </xdr:to>
    <xdr:pic>
      <xdr:nvPicPr>
        <xdr:cNvPr id="37" name="Imagen 36">
          <a:extLst>
            <a:ext uri="{FF2B5EF4-FFF2-40B4-BE49-F238E27FC236}">
              <a16:creationId xmlns:a16="http://schemas.microsoft.com/office/drawing/2014/main" id="{05BB5FA6-5A5E-478B-8B9B-A844AEF407F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809453" y="21284698"/>
          <a:ext cx="452746" cy="18818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xdr:col>
      <xdr:colOff>176893</xdr:colOff>
      <xdr:row>125</xdr:row>
      <xdr:rowOff>122464</xdr:rowOff>
    </xdr:from>
    <xdr:to>
      <xdr:col>7</xdr:col>
      <xdr:colOff>0</xdr:colOff>
      <xdr:row>128</xdr:row>
      <xdr:rowOff>136071</xdr:rowOff>
    </xdr:to>
    <xdr:sp macro="" textlink="">
      <xdr:nvSpPr>
        <xdr:cNvPr id="38" name="CuadroTexto 37">
          <a:extLst>
            <a:ext uri="{FF2B5EF4-FFF2-40B4-BE49-F238E27FC236}">
              <a16:creationId xmlns:a16="http://schemas.microsoft.com/office/drawing/2014/main" id="{88BD2DD2-20F2-4EBA-B2E0-0F81DB6FAE68}"/>
            </a:ext>
          </a:extLst>
        </xdr:cNvPr>
        <xdr:cNvSpPr txBox="1"/>
      </xdr:nvSpPr>
      <xdr:spPr>
        <a:xfrm>
          <a:off x="2371453" y="20848864"/>
          <a:ext cx="2749187" cy="562247"/>
        </a:xfrm>
        <a:prstGeom prst="rect">
          <a:avLst/>
        </a:prstGeom>
        <a:noFill/>
        <a:ln>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CO" sz="600" b="0" i="0">
              <a:solidFill>
                <a:schemeClr val="dk1"/>
              </a:solidFill>
              <a:effectLst/>
              <a:latin typeface="+mn-lt"/>
              <a:ea typeface="+mn-ea"/>
              <a:cs typeface="+mn-cs"/>
            </a:rPr>
            <a:t>El pago se efectuará utilizando los servicios de ACH Colombia, ya sea realizando el débito desde su cuenta corriente, ahorros o de depósitos electrónicos a través del boton de PSE o tarjeta crédito si tiene el convenio.</a:t>
          </a:r>
          <a:endParaRPr lang="es-CO" sz="500">
            <a:solidFill>
              <a:schemeClr val="bg1"/>
            </a:solidFill>
          </a:endParaRPr>
        </a:p>
      </xdr:txBody>
    </xdr:sp>
    <xdr:clientData/>
  </xdr:twoCellAnchor>
  <xdr:twoCellAnchor editAs="oneCell">
    <xdr:from>
      <xdr:col>2</xdr:col>
      <xdr:colOff>707574</xdr:colOff>
      <xdr:row>125</xdr:row>
      <xdr:rowOff>149677</xdr:rowOff>
    </xdr:from>
    <xdr:to>
      <xdr:col>3</xdr:col>
      <xdr:colOff>192513</xdr:colOff>
      <xdr:row>126</xdr:row>
      <xdr:rowOff>166005</xdr:rowOff>
    </xdr:to>
    <xdr:pic>
      <xdr:nvPicPr>
        <xdr:cNvPr id="39" name="Imagen 38" descr="Sabe usted que es la plataforma de pagos PSE? - Sifer S.A.S">
          <a:extLst>
            <a:ext uri="{FF2B5EF4-FFF2-40B4-BE49-F238E27FC236}">
              <a16:creationId xmlns:a16="http://schemas.microsoft.com/office/drawing/2014/main" id="{73C481EF-CDAA-42D1-90EF-854887385E15}"/>
            </a:ext>
          </a:extLst>
        </xdr:cNvPr>
        <xdr:cNvPicPr>
          <a:picLocks noChangeAspect="1" noChangeArrowheads="1"/>
        </xdr:cNvPicPr>
      </xdr:nvPicPr>
      <xdr:blipFill>
        <a:blip xmlns:r="http://schemas.openxmlformats.org/officeDocument/2006/relationships" r:embed="rId7" cstate="print">
          <a:extLst>
            <a:ext uri="{28A0092B-C50C-407E-A947-70E740481C1C}">
              <a14:useLocalDpi xmlns:a14="http://schemas.microsoft.com/office/drawing/2010/main" val="0"/>
            </a:ext>
          </a:extLst>
        </a:blip>
        <a:srcRect/>
        <a:stretch>
          <a:fillRect/>
        </a:stretch>
      </xdr:blipFill>
      <xdr:spPr bwMode="auto">
        <a:xfrm>
          <a:off x="2170614" y="20876077"/>
          <a:ext cx="216459" cy="1992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jcarbono\Downloads\FOR-044_Formato_de_Vinculacion_de_Empresa_V21(1).xlsm" TargetMode="External"/><Relationship Id="rId1" Type="http://schemas.openxmlformats.org/officeDocument/2006/relationships/externalLinkPath" Target="/Users/jcarbono/Downloads/FOR-044_Formato_de_Vinculacion_de_Empresa_V21(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arta"/>
      <sheetName val="Registro_Usuarios"/>
      <sheetName val="FEEPH"/>
      <sheetName val="FP"/>
      <sheetName val="CF"/>
      <sheetName val="CIF"/>
      <sheetName val="CL"/>
      <sheetName val="VPN"/>
      <sheetName val="PLANTILLAS"/>
      <sheetName val="Datos"/>
      <sheetName val="Tarifas"/>
      <sheetName val="FOR-044_Formato_de_Vinculacion_"/>
    </sheetNames>
    <definedNames>
      <definedName name="prueba0"/>
    </definedNames>
    <sheetDataSet>
      <sheetData sheetId="0"/>
      <sheetData sheetId="1">
        <row r="2">
          <cell r="BD2" t="str">
            <v>ANTIOQUIA</v>
          </cell>
        </row>
        <row r="3">
          <cell r="BD3" t="str">
            <v>ATLÁNTICO</v>
          </cell>
        </row>
        <row r="4">
          <cell r="BD4" t="str">
            <v>BOGOTÁ</v>
          </cell>
        </row>
        <row r="5">
          <cell r="BD5" t="str">
            <v>BOLÍVAR</v>
          </cell>
        </row>
        <row r="6">
          <cell r="BD6" t="str">
            <v>BOYACÁ</v>
          </cell>
        </row>
        <row r="7">
          <cell r="BD7" t="str">
            <v>CALDAS</v>
          </cell>
        </row>
        <row r="8">
          <cell r="BD8" t="str">
            <v>CAQUETÁ</v>
          </cell>
        </row>
        <row r="9">
          <cell r="BD9" t="str">
            <v>CAUCA</v>
          </cell>
        </row>
        <row r="10">
          <cell r="BD10" t="str">
            <v>CESAR</v>
          </cell>
        </row>
        <row r="11">
          <cell r="BD11" t="str">
            <v>CÓRDOBA</v>
          </cell>
        </row>
        <row r="12">
          <cell r="BD12" t="str">
            <v>CUNDINAMARCA</v>
          </cell>
        </row>
        <row r="13">
          <cell r="BD13" t="str">
            <v>CHOCÓ</v>
          </cell>
        </row>
        <row r="14">
          <cell r="BD14" t="str">
            <v>HUILA</v>
          </cell>
        </row>
        <row r="15">
          <cell r="BD15" t="str">
            <v>GUAJIRA</v>
          </cell>
        </row>
        <row r="16">
          <cell r="BD16" t="str">
            <v>MAGDALENA</v>
          </cell>
        </row>
        <row r="17">
          <cell r="BD17" t="str">
            <v>META</v>
          </cell>
        </row>
        <row r="18">
          <cell r="BD18" t="str">
            <v>NARIÑO</v>
          </cell>
        </row>
        <row r="19">
          <cell r="BD19" t="str">
            <v>NORTE_DE_SANTANDER</v>
          </cell>
        </row>
        <row r="20">
          <cell r="BD20" t="str">
            <v>QUINDÍO</v>
          </cell>
        </row>
        <row r="21">
          <cell r="BD21" t="str">
            <v>RISARALDA</v>
          </cell>
        </row>
        <row r="22">
          <cell r="BD22" t="str">
            <v>SANTANDER</v>
          </cell>
        </row>
        <row r="23">
          <cell r="BD23" t="str">
            <v>SUCRE</v>
          </cell>
        </row>
        <row r="24">
          <cell r="BD24" t="str">
            <v>TOLIMA</v>
          </cell>
        </row>
        <row r="25">
          <cell r="BD25" t="str">
            <v>VALLE_DEL_CAUCA</v>
          </cell>
        </row>
        <row r="26">
          <cell r="BD26" t="str">
            <v>ARAUCA</v>
          </cell>
        </row>
        <row r="27">
          <cell r="BD27" t="str">
            <v>CASANARE</v>
          </cell>
        </row>
        <row r="28">
          <cell r="BD28" t="str">
            <v>PUTUMAYO</v>
          </cell>
        </row>
        <row r="29">
          <cell r="BD29" t="str">
            <v>SAN_ANDRÉS</v>
          </cell>
        </row>
        <row r="30">
          <cell r="BD30" t="str">
            <v>AMAZONAS</v>
          </cell>
        </row>
        <row r="31">
          <cell r="BD31" t="str">
            <v>GUAINÍA</v>
          </cell>
        </row>
        <row r="32">
          <cell r="BD32" t="str">
            <v>GUAVIARE</v>
          </cell>
        </row>
        <row r="33">
          <cell r="BD33" t="str">
            <v>VAUPÉS</v>
          </cell>
        </row>
        <row r="34">
          <cell r="BD34" t="str">
            <v>VICHADA</v>
          </cell>
        </row>
      </sheetData>
      <sheetData sheetId="2"/>
      <sheetData sheetId="3"/>
      <sheetData sheetId="4"/>
      <sheetData sheetId="5"/>
      <sheetData sheetId="6"/>
      <sheetData sheetId="7"/>
      <sheetData sheetId="8"/>
      <sheetData sheetId="9">
        <row r="2">
          <cell r="L2" t="str">
            <v>COMPUTEC OUTSOURCING SAS</v>
          </cell>
        </row>
        <row r="4">
          <cell r="L4" t="str">
            <v>SISTEMAS Y COMPUTADORES</v>
          </cell>
        </row>
        <row r="5">
          <cell r="L5" t="str">
            <v>SAIMYR S.A.S.</v>
          </cell>
        </row>
        <row r="6">
          <cell r="L6" t="str">
            <v>ETHOS SOLUCIONES DE SOFTWARE S.A</v>
          </cell>
        </row>
        <row r="7">
          <cell r="L7" t="str">
            <v>Q10 SOLUCIONES S.A.S</v>
          </cell>
        </row>
        <row r="8">
          <cell r="L8" t="str">
            <v>VISUAL SYSTEMS</v>
          </cell>
        </row>
        <row r="9">
          <cell r="L9" t="str">
            <v>IT TRAVEL CONSULTING SAS</v>
          </cell>
        </row>
      </sheetData>
      <sheetData sheetId="10"/>
      <sheetData sheetId="11" refreshError="1"/>
    </sheetDataSet>
  </externalBook>
</externalLink>
</file>

<file path=xl/richData/_rels/richValueRel.xml.rels><?xml version="1.0" encoding="UTF-8" standalone="yes"?>
<Relationships xmlns="http://schemas.openxmlformats.org/package/2006/relationships"><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0</v>
    <v>5</v>
    <v>Ayuda con reOpción con la cual su cliente podrá realizar la búsqueda de los pagos que tenga pendientes. Recuerde que esta información debe estar en el archivo plano cargado al asistema.lleno sólido</v>
  </rv>
</rvData>
</file>

<file path=xl/richData/rdrichvaluestructure.xml><?xml version="1.0" encoding="utf-8"?>
<rvStructures xmlns="http://schemas.microsoft.com/office/spreadsheetml/2017/richdata" count="1">
  <s t="_localImage">
    <k n="_rvRel:LocalImageIdentifier" t="i"/>
    <k n="CalcOrigin" t="i"/>
    <k n="Text" t="s"/>
  </s>
</rvStructures>
</file>

<file path=xl/richData/richValueRel.xml><?xml version="1.0" encoding="utf-8"?>
<richValueRels xmlns="http://schemas.microsoft.com/office/spreadsheetml/2022/richvaluerel" xmlns:r="http://schemas.openxmlformats.org/officeDocument/2006/relationships">
  <rel r:id="rId1"/>
</richValueRels>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4.bin"/><Relationship Id="rId1" Type="http://schemas.openxmlformats.org/officeDocument/2006/relationships/printerSettings" Target="../printerSettings/printerSettings3.bin"/></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8.bin"/><Relationship Id="rId1" Type="http://schemas.openxmlformats.org/officeDocument/2006/relationships/printerSettings" Target="../printerSettings/printerSettings7.bin"/></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10.bin"/><Relationship Id="rId1" Type="http://schemas.openxmlformats.org/officeDocument/2006/relationships/printerSettings" Target="../printerSettings/printerSettings9.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6.xml"/><Relationship Id="rId1" Type="http://schemas.openxmlformats.org/officeDocument/2006/relationships/printerSettings" Target="../printerSettings/printerSettings1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2" Type="http://schemas.openxmlformats.org/officeDocument/2006/relationships/printerSettings" Target="../printerSettings/printerSettings13.bin"/><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EDC8A6-2579-49E6-B13A-5F76B9E7E699}">
  <sheetPr codeName="Hoja4">
    <pageSetUpPr fitToPage="1"/>
  </sheetPr>
  <dimension ref="A1:IV114"/>
  <sheetViews>
    <sheetView showGridLines="0" tabSelected="1" topLeftCell="A30" zoomScale="70" zoomScaleNormal="70" workbookViewId="0">
      <selection activeCell="B14" sqref="B14:N14"/>
    </sheetView>
  </sheetViews>
  <sheetFormatPr baseColWidth="10" defaultColWidth="11.44140625" defaultRowHeight="13.8" x14ac:dyDescent="0.3"/>
  <cols>
    <col min="1" max="1" width="2.44140625" style="93" customWidth="1"/>
    <col min="2" max="2" width="4" style="93" customWidth="1"/>
    <col min="3" max="3" width="8.33203125" style="93" customWidth="1"/>
    <col min="4" max="4" width="22" style="93" customWidth="1"/>
    <col min="5" max="5" width="8.109375" style="93" customWidth="1"/>
    <col min="6" max="6" width="3.6640625" style="93" customWidth="1"/>
    <col min="7" max="7" width="3.33203125" style="93" customWidth="1"/>
    <col min="8" max="8" width="27.21875" style="93" customWidth="1"/>
    <col min="9" max="9" width="5.6640625" style="93" customWidth="1"/>
    <col min="10" max="10" width="3.33203125" style="93" customWidth="1"/>
    <col min="11" max="11" width="5.88671875" style="93" customWidth="1"/>
    <col min="12" max="12" width="4.44140625" style="93" customWidth="1"/>
    <col min="13" max="13" width="3.6640625" style="93" customWidth="1"/>
    <col min="14" max="14" width="5" style="93" customWidth="1"/>
    <col min="15" max="16" width="3.6640625" style="93" customWidth="1"/>
    <col min="17" max="17" width="10.88671875" style="93" customWidth="1"/>
    <col min="18" max="18" width="4" style="93" customWidth="1"/>
    <col min="19" max="23" width="3.6640625" style="93" customWidth="1"/>
    <col min="24" max="24" width="16.5546875" style="93" customWidth="1"/>
    <col min="25" max="25" width="3.44140625" style="93" customWidth="1"/>
    <col min="26" max="26" width="4.33203125" style="93" customWidth="1"/>
    <col min="27" max="27" width="14.6640625" style="95" customWidth="1"/>
    <col min="28" max="52" width="3.6640625" style="93" customWidth="1"/>
    <col min="53" max="16384" width="11.44140625" style="93"/>
  </cols>
  <sheetData>
    <row r="1" spans="1:256" ht="15.6" x14ac:dyDescent="0.3">
      <c r="A1" s="283"/>
      <c r="B1" s="284"/>
      <c r="C1" s="284"/>
      <c r="D1" s="284"/>
      <c r="E1" s="284"/>
      <c r="F1" s="284"/>
      <c r="G1" s="284"/>
      <c r="H1" s="284"/>
      <c r="I1" s="284"/>
      <c r="J1" s="284"/>
      <c r="K1" s="284"/>
      <c r="L1" s="284"/>
      <c r="M1" s="284"/>
      <c r="N1" s="284"/>
      <c r="O1" s="284"/>
      <c r="P1" s="284"/>
      <c r="Q1" s="284"/>
      <c r="R1" s="284"/>
      <c r="S1" s="284"/>
      <c r="T1" s="284"/>
      <c r="U1" s="284"/>
      <c r="V1" s="284"/>
      <c r="W1" s="284"/>
      <c r="X1" s="284"/>
      <c r="Y1" s="284"/>
      <c r="Z1" s="284"/>
      <c r="AA1" s="284"/>
      <c r="DG1" s="94" t="s">
        <v>297</v>
      </c>
      <c r="DH1" s="94" t="e">
        <f>#REF!</f>
        <v>#REF!</v>
      </c>
    </row>
    <row r="2" spans="1:256" ht="15.6" x14ac:dyDescent="0.3">
      <c r="A2" s="283"/>
      <c r="B2" s="284" t="s">
        <v>17</v>
      </c>
      <c r="C2" s="284"/>
      <c r="D2" s="284"/>
      <c r="E2" s="284"/>
      <c r="F2" s="284"/>
      <c r="G2" s="284"/>
      <c r="H2" s="284"/>
      <c r="I2" s="284"/>
      <c r="J2" s="284"/>
      <c r="K2" s="284"/>
      <c r="L2" s="284"/>
      <c r="M2" s="284"/>
      <c r="N2" s="284"/>
      <c r="O2" s="284"/>
      <c r="P2" s="284"/>
      <c r="Q2" s="284"/>
      <c r="R2" s="284"/>
      <c r="S2" s="284"/>
      <c r="T2" s="284"/>
      <c r="U2" s="284"/>
      <c r="V2" s="284"/>
      <c r="W2" s="284"/>
      <c r="X2" s="284"/>
      <c r="Y2" s="284"/>
      <c r="Z2" s="284"/>
      <c r="AA2" s="284"/>
      <c r="DG2" s="94" t="s">
        <v>298</v>
      </c>
      <c r="DH2" s="94" t="e">
        <f>#REF!</f>
        <v>#REF!</v>
      </c>
    </row>
    <row r="3" spans="1:256" ht="15.6" x14ac:dyDescent="0.3">
      <c r="A3" s="283"/>
      <c r="B3" s="285" t="s">
        <v>181</v>
      </c>
      <c r="C3" s="285"/>
      <c r="D3" s="285"/>
      <c r="E3" s="285"/>
      <c r="F3" s="285"/>
      <c r="G3" s="285"/>
      <c r="H3" s="285"/>
      <c r="I3" s="286"/>
      <c r="J3" s="285" t="s">
        <v>180</v>
      </c>
      <c r="K3" s="285"/>
      <c r="L3" s="285"/>
      <c r="M3" s="285"/>
      <c r="N3" s="285"/>
      <c r="O3" s="285"/>
      <c r="P3" s="285"/>
      <c r="Q3" s="285"/>
      <c r="R3" s="285"/>
      <c r="S3" s="285"/>
      <c r="T3" s="285"/>
      <c r="U3" s="285"/>
      <c r="V3" s="285"/>
      <c r="W3" s="285"/>
      <c r="X3" s="285"/>
      <c r="Y3" s="285"/>
      <c r="Z3" s="287"/>
      <c r="AA3" s="287"/>
    </row>
    <row r="4" spans="1:256" x14ac:dyDescent="0.3">
      <c r="A4" s="283"/>
      <c r="B4" s="288" t="s">
        <v>5</v>
      </c>
      <c r="C4" s="288"/>
      <c r="D4" s="288"/>
      <c r="E4" s="288"/>
      <c r="F4" s="288"/>
      <c r="G4" s="288"/>
      <c r="H4" s="288"/>
      <c r="I4" s="288"/>
      <c r="J4" s="288"/>
      <c r="K4" s="288"/>
      <c r="L4" s="288"/>
      <c r="M4" s="288"/>
      <c r="N4" s="288"/>
      <c r="O4" s="288"/>
      <c r="P4" s="288"/>
      <c r="Q4" s="288"/>
      <c r="R4" s="288"/>
      <c r="S4" s="288"/>
      <c r="T4" s="288"/>
      <c r="U4" s="288"/>
      <c r="V4" s="288"/>
      <c r="W4" s="288"/>
      <c r="X4" s="288"/>
      <c r="Y4" s="288"/>
      <c r="Z4" s="288"/>
      <c r="AA4" s="288"/>
    </row>
    <row r="5" spans="1:256" ht="25.5" customHeight="1" x14ac:dyDescent="0.3">
      <c r="B5" s="95"/>
      <c r="C5" s="95"/>
      <c r="D5" s="95"/>
      <c r="E5" s="95"/>
      <c r="F5" s="95"/>
      <c r="G5" s="95"/>
      <c r="H5" s="95"/>
      <c r="I5" s="95"/>
      <c r="J5" s="95"/>
      <c r="K5" s="95"/>
      <c r="L5" s="95"/>
      <c r="M5" s="95"/>
      <c r="N5" s="95"/>
      <c r="O5" s="95"/>
      <c r="P5" s="95"/>
      <c r="Q5" s="95"/>
      <c r="R5" s="95"/>
      <c r="S5" s="95"/>
      <c r="T5" s="95"/>
      <c r="U5" s="95"/>
      <c r="V5" s="95"/>
      <c r="W5" s="95"/>
      <c r="X5" s="95"/>
      <c r="Y5" s="95"/>
      <c r="Z5" s="95"/>
      <c r="DI5" s="93" t="s">
        <v>1342</v>
      </c>
      <c r="DK5" s="93" t="s">
        <v>1343</v>
      </c>
    </row>
    <row r="6" spans="1:256" ht="17.25" customHeight="1" x14ac:dyDescent="0.3">
      <c r="B6" s="145" t="s">
        <v>18</v>
      </c>
      <c r="C6" s="145"/>
      <c r="D6" s="145"/>
      <c r="E6" s="145"/>
      <c r="F6" s="95"/>
      <c r="G6" s="146"/>
      <c r="H6" s="147"/>
      <c r="I6" s="147"/>
      <c r="J6" s="147"/>
      <c r="K6" s="147"/>
      <c r="L6" s="147"/>
      <c r="M6" s="147"/>
      <c r="N6" s="147"/>
      <c r="O6" s="147"/>
      <c r="P6" s="147"/>
      <c r="Q6" s="147"/>
      <c r="R6" s="147"/>
      <c r="S6" s="147"/>
      <c r="T6" s="147"/>
      <c r="U6" s="147"/>
      <c r="V6" s="147"/>
      <c r="W6" s="147"/>
      <c r="X6" s="147"/>
      <c r="Y6" s="147"/>
      <c r="Z6" s="147"/>
      <c r="AA6" s="147"/>
      <c r="DI6" s="93">
        <v>1</v>
      </c>
      <c r="DK6" s="93" cm="1">
        <f t="array" ref="DK6:DK15">+_xlfn._xlws.SORT(_xlfn._xlws.FILTER(DI6:DI15,NOT(COUNTIF(AA:AA,DI6:DI15))))</f>
        <v>1</v>
      </c>
    </row>
    <row r="7" spans="1:256" ht="17.25" customHeight="1" x14ac:dyDescent="0.3">
      <c r="B7" s="28"/>
      <c r="C7" s="28"/>
      <c r="D7" s="28"/>
      <c r="E7" s="28"/>
      <c r="F7" s="95"/>
      <c r="G7" s="97"/>
      <c r="H7" s="98"/>
      <c r="I7" s="98"/>
      <c r="J7" s="99"/>
      <c r="K7" s="99"/>
      <c r="L7" s="99"/>
      <c r="M7" s="99"/>
      <c r="N7" s="99"/>
      <c r="O7" s="99"/>
      <c r="P7" s="99"/>
      <c r="Q7" s="99"/>
      <c r="R7" s="99"/>
      <c r="S7" s="98"/>
      <c r="T7" s="98"/>
      <c r="U7" s="98"/>
      <c r="V7" s="98"/>
      <c r="W7" s="98"/>
      <c r="X7" s="98"/>
      <c r="Y7" s="98"/>
      <c r="Z7" s="98"/>
      <c r="AA7" s="98"/>
      <c r="DI7" s="93">
        <v>2</v>
      </c>
      <c r="DK7" s="93">
        <v>2</v>
      </c>
    </row>
    <row r="8" spans="1:256" x14ac:dyDescent="0.3">
      <c r="B8" s="161" t="s">
        <v>19</v>
      </c>
      <c r="C8" s="161"/>
      <c r="D8" s="147"/>
      <c r="E8" s="147"/>
      <c r="F8" s="147"/>
      <c r="G8" s="147"/>
      <c r="H8" s="147"/>
      <c r="I8" s="147"/>
      <c r="K8" s="161" t="s">
        <v>20</v>
      </c>
      <c r="L8" s="161"/>
      <c r="M8" s="161"/>
      <c r="N8" s="161"/>
      <c r="O8" s="161"/>
      <c r="P8" s="161"/>
      <c r="Q8" s="161"/>
      <c r="R8" s="161"/>
      <c r="S8" s="187">
        <f ca="1">+TODAY()</f>
        <v>45849</v>
      </c>
      <c r="T8" s="187"/>
      <c r="U8" s="187"/>
      <c r="V8" s="187"/>
      <c r="W8" s="187"/>
      <c r="X8" s="187"/>
      <c r="Y8" s="187"/>
      <c r="Z8" s="187"/>
      <c r="AA8" s="187"/>
      <c r="DI8" s="93">
        <v>3</v>
      </c>
      <c r="DK8" s="93">
        <v>3</v>
      </c>
    </row>
    <row r="9" spans="1:256" ht="12" customHeight="1" x14ac:dyDescent="0.3">
      <c r="N9" s="100"/>
      <c r="P9" s="100"/>
      <c r="Q9" s="100"/>
      <c r="R9" s="100"/>
      <c r="S9" s="188" t="s">
        <v>9</v>
      </c>
      <c r="T9" s="188"/>
      <c r="U9" s="188"/>
      <c r="V9" s="188"/>
      <c r="W9" s="188"/>
      <c r="X9" s="188"/>
      <c r="Y9" s="188"/>
      <c r="Z9" s="188"/>
      <c r="AA9" s="188"/>
      <c r="DI9" s="93">
        <v>4</v>
      </c>
      <c r="DK9" s="93">
        <v>4</v>
      </c>
    </row>
    <row r="10" spans="1:256" ht="15.6" customHeight="1" x14ac:dyDescent="0.3">
      <c r="B10" s="178" t="s">
        <v>1356</v>
      </c>
      <c r="C10" s="178"/>
      <c r="D10" s="178"/>
      <c r="E10" s="178"/>
      <c r="F10" s="178"/>
      <c r="G10" s="178"/>
      <c r="H10" s="178"/>
      <c r="I10" s="178"/>
      <c r="J10" s="178"/>
      <c r="K10" s="195" t="s">
        <v>0</v>
      </c>
      <c r="L10" s="195"/>
      <c r="M10" s="195"/>
      <c r="N10" s="195"/>
      <c r="O10" s="195"/>
      <c r="P10" s="195"/>
      <c r="Q10" s="195"/>
      <c r="R10" s="195"/>
      <c r="S10" s="195"/>
      <c r="T10" s="195"/>
      <c r="U10" s="195"/>
      <c r="V10" s="195"/>
      <c r="W10" s="195"/>
      <c r="X10" s="195"/>
      <c r="Y10" s="195"/>
      <c r="Z10" s="195"/>
      <c r="AA10" s="195"/>
      <c r="DI10" s="93">
        <v>5</v>
      </c>
      <c r="DK10" s="93">
        <v>5</v>
      </c>
    </row>
    <row r="11" spans="1:256" ht="29.4" customHeight="1" x14ac:dyDescent="0.3">
      <c r="B11" s="178" t="s">
        <v>154</v>
      </c>
      <c r="C11" s="178"/>
      <c r="D11" s="178"/>
      <c r="E11" s="178"/>
      <c r="F11" s="178"/>
      <c r="G11" s="178"/>
      <c r="H11" s="178"/>
      <c r="I11" s="178"/>
      <c r="J11" s="178"/>
      <c r="K11" s="189"/>
      <c r="L11" s="189"/>
      <c r="M11" s="189"/>
      <c r="N11" s="189"/>
      <c r="O11" s="189"/>
      <c r="P11" s="189"/>
      <c r="Q11" s="189"/>
      <c r="R11" s="189"/>
      <c r="S11" s="189"/>
      <c r="T11" s="189"/>
      <c r="U11" s="189"/>
      <c r="V11" s="189"/>
      <c r="W11" s="189"/>
      <c r="X11" s="189"/>
      <c r="Y11" s="189"/>
      <c r="Z11" s="189"/>
      <c r="AA11" s="189"/>
      <c r="DI11" s="93">
        <v>6</v>
      </c>
      <c r="DK11" s="93">
        <v>6</v>
      </c>
      <c r="IV11" s="101" t="s">
        <v>239</v>
      </c>
    </row>
    <row r="12" spans="1:256" ht="15" customHeight="1" x14ac:dyDescent="0.3">
      <c r="B12" s="92"/>
      <c r="C12" s="92"/>
      <c r="D12" s="92"/>
      <c r="E12" s="92"/>
      <c r="F12" s="92"/>
      <c r="G12" s="92"/>
      <c r="H12" s="92"/>
      <c r="I12" s="92"/>
      <c r="J12" s="92"/>
      <c r="K12" s="102"/>
      <c r="L12" s="102"/>
      <c r="M12" s="102"/>
      <c r="N12" s="102"/>
      <c r="O12" s="102"/>
      <c r="P12" s="102"/>
      <c r="Q12" s="102"/>
      <c r="R12" s="102"/>
      <c r="S12" s="102"/>
      <c r="T12" s="102"/>
      <c r="U12" s="102"/>
      <c r="V12" s="102"/>
      <c r="W12" s="102"/>
      <c r="X12" s="102"/>
      <c r="Y12" s="102"/>
      <c r="Z12" s="102"/>
      <c r="AA12" s="102"/>
      <c r="DI12" s="93">
        <v>7</v>
      </c>
      <c r="DK12" s="93">
        <v>7</v>
      </c>
      <c r="IV12" s="101"/>
    </row>
    <row r="13" spans="1:256" ht="19.5" customHeight="1" x14ac:dyDescent="0.3">
      <c r="B13" s="152" t="s">
        <v>21</v>
      </c>
      <c r="C13" s="152"/>
      <c r="D13" s="152"/>
      <c r="E13" s="152"/>
      <c r="F13" s="152"/>
      <c r="G13" s="152"/>
      <c r="H13" s="152"/>
      <c r="I13" s="152"/>
      <c r="J13" s="152"/>
      <c r="K13" s="152"/>
      <c r="L13" s="152"/>
      <c r="M13" s="152"/>
      <c r="N13" s="152"/>
      <c r="O13" s="152"/>
      <c r="P13" s="152"/>
      <c r="Q13" s="152"/>
      <c r="R13" s="152"/>
      <c r="S13" s="152"/>
      <c r="T13" s="152"/>
      <c r="U13" s="152"/>
      <c r="V13" s="152"/>
      <c r="W13" s="152"/>
      <c r="X13" s="152"/>
      <c r="Y13" s="152"/>
      <c r="Z13" s="152"/>
      <c r="AA13" s="152"/>
      <c r="AB13" s="103"/>
      <c r="DI13" s="93">
        <v>8</v>
      </c>
      <c r="DK13" s="93">
        <v>8</v>
      </c>
      <c r="IV13" s="101" t="s">
        <v>240</v>
      </c>
    </row>
    <row r="14" spans="1:256" ht="15" customHeight="1" x14ac:dyDescent="0.3">
      <c r="B14" s="190" t="s">
        <v>155</v>
      </c>
      <c r="C14" s="191"/>
      <c r="D14" s="191"/>
      <c r="E14" s="191"/>
      <c r="F14" s="191"/>
      <c r="G14" s="191"/>
      <c r="H14" s="191"/>
      <c r="I14" s="191"/>
      <c r="J14" s="191"/>
      <c r="K14" s="191"/>
      <c r="L14" s="191"/>
      <c r="M14" s="191"/>
      <c r="N14" s="191"/>
      <c r="O14" s="192" t="s">
        <v>0</v>
      </c>
      <c r="P14" s="192"/>
      <c r="Q14" s="192"/>
      <c r="R14" s="192"/>
      <c r="S14" s="192"/>
      <c r="T14" s="192"/>
      <c r="V14" s="193" t="str">
        <f>IFERROR(HYPERLINK("#" &amp; VLOOKUP(O14,Datos!$R$4:$S$8,2,0), "Ver Plantilla"), "Seleccione Plantilla")</f>
        <v>Seleccione Plantilla</v>
      </c>
      <c r="W14" s="194"/>
      <c r="X14" s="194"/>
      <c r="Y14" s="194"/>
      <c r="Z14" s="194"/>
      <c r="AA14" s="194"/>
      <c r="AB14" s="105"/>
      <c r="DI14" s="93">
        <v>9</v>
      </c>
      <c r="DK14" s="93">
        <v>9</v>
      </c>
      <c r="IV14" s="101" t="s">
        <v>247</v>
      </c>
    </row>
    <row r="15" spans="1:256" s="103" customFormat="1" ht="15" customHeight="1" x14ac:dyDescent="0.3">
      <c r="AB15" s="106"/>
      <c r="DI15" s="93">
        <v>10</v>
      </c>
      <c r="DK15" s="103">
        <v>10</v>
      </c>
      <c r="IV15" s="101"/>
    </row>
    <row r="16" spans="1:256" s="103" customFormat="1" ht="15" customHeight="1" x14ac:dyDescent="0.3">
      <c r="B16" s="104"/>
      <c r="C16" s="104"/>
      <c r="D16" s="104"/>
      <c r="E16" s="104"/>
      <c r="F16" s="104"/>
      <c r="G16" s="104"/>
      <c r="H16" s="104"/>
      <c r="I16" s="104"/>
      <c r="J16" s="104"/>
      <c r="K16" s="104"/>
      <c r="L16" s="104"/>
      <c r="M16" s="104"/>
      <c r="N16" s="104"/>
      <c r="O16" s="104"/>
      <c r="P16" s="104"/>
      <c r="Q16" s="104"/>
      <c r="R16" s="104"/>
      <c r="S16" s="104"/>
      <c r="T16" s="104"/>
      <c r="U16" s="104"/>
      <c r="V16" s="104"/>
      <c r="W16" s="104"/>
      <c r="X16" s="104"/>
      <c r="Y16" s="104"/>
      <c r="Z16" s="104"/>
      <c r="AA16" s="104"/>
      <c r="AB16" s="106"/>
      <c r="DI16" s="93"/>
      <c r="IV16" s="101"/>
    </row>
    <row r="17" spans="2:256" ht="14.4" x14ac:dyDescent="0.3">
      <c r="AA17" s="93"/>
      <c r="IV17" s="101" t="s">
        <v>1317</v>
      </c>
    </row>
    <row r="18" spans="2:256" ht="14.4" x14ac:dyDescent="0.3">
      <c r="B18" s="152" t="s">
        <v>29</v>
      </c>
      <c r="C18" s="152"/>
      <c r="D18" s="152"/>
      <c r="E18" s="152"/>
      <c r="F18" s="152"/>
      <c r="G18" s="152"/>
      <c r="H18" s="152"/>
      <c r="I18" s="152"/>
      <c r="J18" s="152"/>
      <c r="K18" s="152"/>
      <c r="L18" s="152"/>
      <c r="M18" s="152"/>
      <c r="N18" s="152"/>
      <c r="O18" s="152"/>
      <c r="P18" s="152"/>
      <c r="Q18" s="152"/>
      <c r="R18" s="152"/>
      <c r="S18" s="152"/>
      <c r="T18" s="152"/>
      <c r="U18" s="152"/>
      <c r="V18" s="152"/>
      <c r="W18" s="152"/>
      <c r="X18" s="152"/>
      <c r="Y18" s="152"/>
      <c r="Z18" s="152"/>
      <c r="AA18" s="152"/>
      <c r="IV18" s="101" t="s">
        <v>1318</v>
      </c>
    </row>
    <row r="19" spans="2:256" ht="15" customHeight="1" x14ac:dyDescent="0.3">
      <c r="B19" s="179" t="s">
        <v>176</v>
      </c>
      <c r="C19" s="179"/>
      <c r="D19" s="179"/>
      <c r="E19" s="179"/>
      <c r="F19" s="179"/>
      <c r="G19" s="179"/>
      <c r="H19" s="179"/>
      <c r="I19" s="179"/>
      <c r="J19" s="179"/>
      <c r="K19" s="179"/>
      <c r="L19" s="179"/>
      <c r="M19" s="179"/>
      <c r="N19" s="179"/>
      <c r="O19" s="179"/>
      <c r="P19" s="179"/>
      <c r="Q19" s="179"/>
      <c r="R19" s="179"/>
      <c r="S19" s="179"/>
      <c r="T19" s="179"/>
      <c r="U19" s="179"/>
      <c r="V19" s="179"/>
      <c r="W19" s="179"/>
      <c r="X19" s="179"/>
      <c r="Y19" s="179"/>
      <c r="Z19" s="179"/>
      <c r="AA19" s="179"/>
      <c r="IV19" s="101" t="s">
        <v>13</v>
      </c>
    </row>
    <row r="20" spans="2:256" ht="14.4" x14ac:dyDescent="0.3">
      <c r="D20" s="107"/>
      <c r="E20" s="107"/>
      <c r="F20" s="107"/>
      <c r="G20" s="153"/>
      <c r="H20" s="153"/>
      <c r="I20" s="153"/>
      <c r="J20" s="107"/>
      <c r="R20" s="107"/>
      <c r="Z20" s="5"/>
      <c r="AA20" s="6"/>
      <c r="IV20" s="101" t="s">
        <v>253</v>
      </c>
    </row>
    <row r="21" spans="2:256" ht="15" customHeight="1" x14ac:dyDescent="0.3">
      <c r="B21" s="154" t="s">
        <v>178</v>
      </c>
      <c r="C21" s="154"/>
      <c r="D21" s="154"/>
      <c r="E21" s="154"/>
      <c r="F21" s="154"/>
      <c r="G21" s="154"/>
      <c r="H21" s="154"/>
      <c r="I21" s="154"/>
      <c r="J21" s="154"/>
      <c r="K21" s="154"/>
      <c r="L21" s="154"/>
      <c r="M21" s="154"/>
      <c r="N21" s="154"/>
      <c r="O21" s="154"/>
      <c r="P21" s="154"/>
      <c r="Q21" s="154"/>
      <c r="R21" s="154"/>
      <c r="S21" s="154"/>
      <c r="T21" s="154"/>
      <c r="U21" s="154"/>
      <c r="V21" s="154"/>
      <c r="W21" s="154"/>
      <c r="X21" s="154"/>
      <c r="Y21" s="154"/>
      <c r="Z21" s="154"/>
      <c r="AA21" s="154"/>
      <c r="IV21" s="101" t="s">
        <v>15</v>
      </c>
    </row>
    <row r="22" spans="2:256" s="103" customFormat="1" ht="29.25" customHeight="1" thickBot="1" x14ac:dyDescent="0.35">
      <c r="B22" s="174" t="s">
        <v>233</v>
      </c>
      <c r="C22" s="174"/>
      <c r="D22" s="174"/>
      <c r="E22" s="174"/>
      <c r="F22" s="174"/>
      <c r="G22" s="174"/>
      <c r="H22" s="174"/>
      <c r="I22" s="174"/>
      <c r="J22" s="174"/>
      <c r="K22" s="174"/>
      <c r="L22" s="174"/>
      <c r="M22" s="174"/>
      <c r="N22" s="174"/>
      <c r="O22" s="174"/>
      <c r="P22" s="174"/>
      <c r="Q22" s="174"/>
      <c r="R22" s="174"/>
      <c r="S22" s="174"/>
      <c r="T22" s="174"/>
      <c r="U22" s="174"/>
      <c r="V22" s="174"/>
      <c r="W22" s="174"/>
      <c r="X22" s="174"/>
      <c r="Y22" s="174"/>
      <c r="Z22" s="174"/>
      <c r="AA22" s="174"/>
      <c r="DI22" s="93"/>
      <c r="IV22" s="101" t="s">
        <v>1319</v>
      </c>
    </row>
    <row r="23" spans="2:256" ht="12.9" customHeight="1" thickBot="1" x14ac:dyDescent="0.35">
      <c r="B23" s="183" t="s">
        <v>179</v>
      </c>
      <c r="C23" s="183"/>
      <c r="D23" s="183"/>
      <c r="E23" s="183"/>
      <c r="F23" s="109" t="s">
        <v>36</v>
      </c>
      <c r="G23" s="110"/>
      <c r="H23" s="95"/>
      <c r="I23" s="185" t="s">
        <v>166</v>
      </c>
      <c r="J23" s="186"/>
      <c r="K23" s="185" t="s">
        <v>167</v>
      </c>
      <c r="L23" s="186"/>
      <c r="M23" s="185" t="s">
        <v>168</v>
      </c>
      <c r="N23" s="186"/>
      <c r="O23" s="185" t="s">
        <v>169</v>
      </c>
      <c r="P23" s="186"/>
      <c r="Q23" s="111" t="s">
        <v>170</v>
      </c>
      <c r="R23" s="197" t="s">
        <v>171</v>
      </c>
      <c r="S23" s="198"/>
      <c r="T23" s="199"/>
      <c r="U23" s="185" t="s">
        <v>172</v>
      </c>
      <c r="V23" s="186"/>
      <c r="W23" s="185" t="s">
        <v>173</v>
      </c>
      <c r="X23" s="186"/>
      <c r="Y23" s="197" t="s">
        <v>174</v>
      </c>
      <c r="Z23" s="199"/>
      <c r="AA23" s="111" t="s">
        <v>175</v>
      </c>
      <c r="IV23" s="101" t="s">
        <v>1309</v>
      </c>
    </row>
    <row r="24" spans="2:256" ht="3.75" customHeight="1" x14ac:dyDescent="0.3">
      <c r="B24" s="95"/>
      <c r="C24" s="95"/>
      <c r="D24" s="95"/>
      <c r="E24" s="95"/>
      <c r="F24" s="95"/>
      <c r="G24" s="110"/>
      <c r="H24" s="95"/>
      <c r="I24" s="95"/>
      <c r="J24" s="95"/>
      <c r="K24" s="95"/>
      <c r="L24" s="95"/>
      <c r="M24" s="95"/>
      <c r="N24" s="95"/>
      <c r="O24" s="95"/>
      <c r="R24" s="95"/>
      <c r="S24" s="95"/>
      <c r="T24" s="95"/>
      <c r="U24" s="95"/>
      <c r="V24" s="95"/>
      <c r="W24" s="95"/>
      <c r="X24" s="95"/>
      <c r="AB24" s="112"/>
      <c r="IV24" s="101" t="s">
        <v>1320</v>
      </c>
    </row>
    <row r="25" spans="2:256" ht="12.75" customHeight="1" x14ac:dyDescent="0.3">
      <c r="B25" s="182" t="s">
        <v>151</v>
      </c>
      <c r="C25" s="182"/>
      <c r="D25" s="182"/>
      <c r="E25" s="182"/>
      <c r="F25" s="113" t="s">
        <v>36</v>
      </c>
      <c r="G25" s="178" t="str">
        <f>IF(F25="SI","REFERENCIA DE PAGO:","DESCRIPCION DE PAGO:")</f>
        <v>DESCRIPCION DE PAGO:</v>
      </c>
      <c r="H25" s="178"/>
      <c r="I25" s="184"/>
      <c r="J25" s="184"/>
      <c r="K25" s="184"/>
      <c r="L25" s="184"/>
      <c r="M25" s="184"/>
      <c r="N25" s="184"/>
      <c r="O25" s="184"/>
      <c r="P25" s="184"/>
      <c r="Q25" s="96"/>
      <c r="R25" s="184"/>
      <c r="S25" s="184"/>
      <c r="T25" s="184"/>
      <c r="U25" s="184"/>
      <c r="V25" s="184"/>
      <c r="W25" s="184"/>
      <c r="X25" s="184"/>
      <c r="Y25" s="184"/>
      <c r="Z25" s="184"/>
      <c r="AA25" s="96"/>
    </row>
    <row r="26" spans="2:256" ht="3.75" customHeight="1" x14ac:dyDescent="0.3">
      <c r="B26" s="95"/>
      <c r="C26" s="95"/>
      <c r="D26" s="95"/>
      <c r="E26" s="95"/>
      <c r="F26" s="95"/>
      <c r="G26" s="110"/>
      <c r="H26" s="95"/>
      <c r="I26" s="95"/>
      <c r="J26" s="95"/>
      <c r="K26" s="95"/>
      <c r="L26" s="95"/>
      <c r="M26" s="95"/>
      <c r="N26" s="95"/>
      <c r="O26" s="95"/>
      <c r="R26" s="95"/>
      <c r="S26" s="95"/>
      <c r="T26" s="95"/>
      <c r="U26" s="95"/>
      <c r="V26" s="95"/>
      <c r="W26" s="95"/>
      <c r="X26" s="95"/>
      <c r="AB26" s="112"/>
    </row>
    <row r="27" spans="2:256" ht="12.9" customHeight="1" x14ac:dyDescent="0.3">
      <c r="B27" s="183" t="s">
        <v>152</v>
      </c>
      <c r="C27" s="183"/>
      <c r="D27" s="183"/>
      <c r="E27" s="183"/>
      <c r="F27" s="113" t="s">
        <v>36</v>
      </c>
      <c r="G27" s="110" t="str">
        <f>IF(F27="SI","CODIGO","VALOR")</f>
        <v>VALOR</v>
      </c>
      <c r="H27" s="95"/>
      <c r="I27" s="184"/>
      <c r="J27" s="184"/>
      <c r="K27" s="184"/>
      <c r="L27" s="184"/>
      <c r="M27" s="184"/>
      <c r="N27" s="184"/>
      <c r="O27" s="184"/>
      <c r="P27" s="184"/>
      <c r="Q27" s="96"/>
      <c r="R27" s="184"/>
      <c r="S27" s="184"/>
      <c r="T27" s="184"/>
      <c r="U27" s="184"/>
      <c r="V27" s="184"/>
      <c r="W27" s="184"/>
      <c r="X27" s="184"/>
      <c r="Y27" s="184"/>
      <c r="Z27" s="184"/>
      <c r="AA27" s="96"/>
    </row>
    <row r="28" spans="2:256" ht="3.75" customHeight="1" x14ac:dyDescent="0.3">
      <c r="B28" s="95"/>
      <c r="C28" s="95"/>
      <c r="D28" s="95"/>
      <c r="E28" s="95"/>
      <c r="F28" s="95"/>
      <c r="G28" s="110"/>
      <c r="H28" s="95"/>
      <c r="I28" s="95"/>
      <c r="J28" s="95"/>
      <c r="K28" s="95"/>
      <c r="L28" s="95"/>
      <c r="M28" s="95"/>
      <c r="N28" s="95"/>
      <c r="O28" s="95"/>
      <c r="R28" s="95"/>
      <c r="S28" s="95"/>
      <c r="T28" s="95"/>
      <c r="U28" s="95"/>
      <c r="V28" s="95"/>
      <c r="W28" s="95"/>
      <c r="X28" s="95"/>
      <c r="AB28" s="112"/>
    </row>
    <row r="29" spans="2:256" ht="15" customHeight="1" x14ac:dyDescent="0.3">
      <c r="B29" s="154" t="s">
        <v>177</v>
      </c>
      <c r="C29" s="154"/>
      <c r="D29" s="154"/>
      <c r="E29" s="154"/>
      <c r="F29" s="154"/>
      <c r="G29" s="154"/>
      <c r="H29" s="154"/>
      <c r="I29" s="154"/>
      <c r="J29" s="154"/>
      <c r="K29" s="154"/>
      <c r="L29" s="154"/>
      <c r="M29" s="154"/>
      <c r="N29" s="154"/>
      <c r="O29" s="154"/>
      <c r="P29" s="154"/>
      <c r="Q29" s="154"/>
      <c r="R29" s="154"/>
      <c r="S29" s="154"/>
      <c r="T29" s="154"/>
      <c r="U29" s="154"/>
      <c r="V29" s="154"/>
      <c r="W29" s="154"/>
      <c r="X29" s="154"/>
      <c r="Y29" s="154"/>
      <c r="Z29" s="154"/>
      <c r="AA29" s="154"/>
    </row>
    <row r="30" spans="2:256" s="103" customFormat="1" ht="29.25" customHeight="1" x14ac:dyDescent="0.3">
      <c r="B30" s="174" t="s">
        <v>31</v>
      </c>
      <c r="C30" s="174"/>
      <c r="D30" s="174"/>
      <c r="E30" s="174"/>
      <c r="F30" s="174"/>
      <c r="G30" s="174"/>
      <c r="H30" s="174"/>
      <c r="I30" s="174"/>
      <c r="J30" s="174"/>
      <c r="K30" s="174"/>
      <c r="L30" s="174"/>
      <c r="M30" s="174"/>
      <c r="N30" s="174"/>
      <c r="O30" s="174"/>
      <c r="P30" s="174"/>
      <c r="Q30" s="174"/>
      <c r="R30" s="174"/>
      <c r="S30" s="174"/>
      <c r="T30" s="174"/>
      <c r="U30" s="174"/>
      <c r="V30" s="174"/>
      <c r="W30" s="174"/>
      <c r="X30" s="174"/>
      <c r="Y30" s="174"/>
      <c r="Z30" s="174"/>
      <c r="AA30" s="174"/>
    </row>
    <row r="31" spans="2:256" s="103" customFormat="1" ht="16.2" customHeight="1" x14ac:dyDescent="0.3">
      <c r="B31" s="108"/>
      <c r="C31" s="108"/>
      <c r="D31" s="108"/>
      <c r="E31" s="108"/>
      <c r="F31" s="108"/>
      <c r="G31" s="108"/>
      <c r="H31" s="108"/>
      <c r="I31" s="108"/>
      <c r="J31" s="108"/>
      <c r="K31" s="108"/>
      <c r="L31" s="108"/>
      <c r="M31" s="108"/>
      <c r="N31" s="108"/>
      <c r="O31" s="108"/>
      <c r="P31" s="108"/>
      <c r="Q31" s="108"/>
      <c r="R31" s="108"/>
      <c r="S31" s="108"/>
      <c r="T31" s="108"/>
      <c r="U31" s="108"/>
      <c r="V31" s="108"/>
      <c r="W31" s="108"/>
      <c r="X31" s="108"/>
      <c r="Y31" s="108"/>
      <c r="Z31" s="108"/>
      <c r="AA31" s="108"/>
    </row>
    <row r="32" spans="2:256" s="103" customFormat="1" ht="18" customHeight="1" x14ac:dyDescent="0.3">
      <c r="B32" s="151" t="s">
        <v>1340</v>
      </c>
      <c r="C32" s="151"/>
      <c r="D32" s="151"/>
      <c r="E32" s="113" t="s">
        <v>36</v>
      </c>
      <c r="F32" s="108"/>
      <c r="G32" s="108"/>
      <c r="H32" s="108"/>
      <c r="I32" s="108"/>
      <c r="J32" s="108"/>
      <c r="K32" s="108"/>
      <c r="L32" s="108"/>
      <c r="M32" s="108"/>
      <c r="N32" s="108"/>
      <c r="O32" s="108"/>
      <c r="P32" s="108"/>
      <c r="Q32" s="108"/>
      <c r="R32" s="108"/>
      <c r="S32" s="108"/>
      <c r="T32" s="108"/>
      <c r="U32" s="108"/>
      <c r="V32" s="108"/>
      <c r="W32" s="108"/>
      <c r="X32" s="108"/>
      <c r="Y32" s="108"/>
      <c r="Z32" s="108"/>
      <c r="AA32" s="108"/>
    </row>
    <row r="33" spans="2:36" s="103" customFormat="1" ht="18" customHeight="1" x14ac:dyDescent="0.3">
      <c r="B33" s="114"/>
      <c r="D33" s="114"/>
      <c r="E33" s="114"/>
      <c r="F33" s="108"/>
      <c r="G33" s="108"/>
      <c r="H33" s="108"/>
      <c r="I33" s="108"/>
      <c r="J33" s="108"/>
      <c r="K33" s="108"/>
      <c r="L33" s="108"/>
      <c r="M33" s="108"/>
      <c r="N33" s="108"/>
      <c r="O33" s="108"/>
      <c r="P33" s="108"/>
      <c r="Q33" s="108"/>
      <c r="R33" s="108"/>
      <c r="S33" s="108"/>
      <c r="T33" s="108"/>
      <c r="U33" s="108"/>
      <c r="V33" s="108"/>
      <c r="W33" s="108"/>
      <c r="X33" s="108"/>
      <c r="Y33" s="108"/>
      <c r="Z33" s="108"/>
      <c r="AA33" s="108"/>
    </row>
    <row r="34" spans="2:36" ht="24" customHeight="1" x14ac:dyDescent="0.3">
      <c r="B34" s="153" t="s">
        <v>32</v>
      </c>
      <c r="C34" s="153"/>
      <c r="D34" s="95"/>
      <c r="E34" s="95"/>
      <c r="F34" s="95"/>
      <c r="G34" s="95"/>
      <c r="H34" s="95"/>
      <c r="I34" s="153" t="s">
        <v>33</v>
      </c>
      <c r="J34" s="153"/>
      <c r="K34" s="153"/>
      <c r="L34" s="153"/>
      <c r="M34" s="153"/>
      <c r="N34" s="153"/>
      <c r="O34" s="153"/>
      <c r="R34" s="196" t="s">
        <v>34</v>
      </c>
      <c r="S34" s="196"/>
      <c r="T34" s="196"/>
      <c r="U34" s="196"/>
      <c r="V34" s="196"/>
      <c r="W34" s="196"/>
      <c r="X34" s="196"/>
      <c r="AA34" s="115" t="s">
        <v>35</v>
      </c>
      <c r="AB34" s="112"/>
      <c r="AC34" s="103"/>
      <c r="AD34" s="103"/>
      <c r="AE34" s="103"/>
      <c r="AF34" s="103"/>
      <c r="AG34" s="103"/>
      <c r="AH34" s="103"/>
      <c r="AI34" s="103"/>
      <c r="AJ34" s="103"/>
    </row>
    <row r="35" spans="2:36" ht="3.75" customHeight="1" x14ac:dyDescent="0.3">
      <c r="B35" s="95"/>
      <c r="C35" s="95"/>
      <c r="D35" s="95"/>
      <c r="E35" s="95"/>
      <c r="F35" s="95"/>
      <c r="G35" s="95"/>
      <c r="H35" s="95"/>
      <c r="I35" s="95"/>
      <c r="J35" s="95"/>
      <c r="K35" s="95"/>
      <c r="L35" s="95"/>
      <c r="M35" s="95"/>
      <c r="N35" s="95"/>
      <c r="O35" s="95"/>
      <c r="R35" s="95"/>
      <c r="S35" s="95"/>
      <c r="T35" s="95"/>
      <c r="U35" s="95"/>
      <c r="V35" s="95"/>
      <c r="W35" s="95"/>
      <c r="X35" s="95"/>
      <c r="AB35" s="112"/>
      <c r="AC35" s="103"/>
      <c r="AD35" s="103"/>
      <c r="AE35" s="103"/>
      <c r="AF35" s="103"/>
      <c r="AG35" s="103"/>
      <c r="AH35" s="103"/>
      <c r="AI35" s="103"/>
      <c r="AJ35" s="103"/>
    </row>
    <row r="36" spans="2:36" ht="15" customHeight="1" x14ac:dyDescent="0.3">
      <c r="B36" s="159" t="s">
        <v>153</v>
      </c>
      <c r="C36" s="159"/>
      <c r="D36" s="159"/>
      <c r="E36" s="159"/>
      <c r="F36" s="159"/>
      <c r="G36" s="95"/>
      <c r="I36" s="149"/>
      <c r="J36" s="149"/>
      <c r="K36" s="149"/>
      <c r="L36" s="149"/>
      <c r="M36" s="149"/>
      <c r="N36" s="149"/>
      <c r="O36" s="149"/>
      <c r="R36" s="160"/>
      <c r="S36" s="160"/>
      <c r="T36" s="160"/>
      <c r="U36" s="160"/>
      <c r="V36" s="160"/>
      <c r="W36" s="160"/>
      <c r="X36" s="160"/>
      <c r="AA36" s="116"/>
      <c r="AB36" s="112"/>
      <c r="AC36" s="103"/>
      <c r="AD36" s="103"/>
      <c r="AE36" s="103"/>
      <c r="AF36" s="103"/>
      <c r="AG36" s="103"/>
      <c r="AH36" s="103"/>
      <c r="AI36" s="103"/>
      <c r="AJ36" s="103"/>
    </row>
    <row r="37" spans="2:36" ht="2.25" customHeight="1" x14ac:dyDescent="0.3">
      <c r="B37" s="95"/>
      <c r="C37" s="95"/>
      <c r="D37" s="95"/>
      <c r="E37" s="95"/>
      <c r="F37" s="95"/>
      <c r="G37" s="95"/>
      <c r="I37" s="95"/>
      <c r="J37" s="95"/>
      <c r="K37" s="95"/>
      <c r="L37" s="95"/>
      <c r="M37" s="95"/>
      <c r="N37" s="95"/>
      <c r="O37" s="95"/>
      <c r="R37" s="95"/>
      <c r="S37" s="95"/>
      <c r="T37" s="95"/>
      <c r="U37" s="95"/>
      <c r="V37" s="95"/>
      <c r="W37" s="95"/>
      <c r="X37" s="95"/>
      <c r="AA37" s="107"/>
      <c r="AB37" s="112"/>
      <c r="AC37" s="103"/>
      <c r="AD37" s="103"/>
      <c r="AE37" s="103"/>
      <c r="AF37" s="103"/>
      <c r="AG37" s="103"/>
      <c r="AH37" s="103"/>
      <c r="AI37" s="103"/>
      <c r="AJ37" s="103"/>
    </row>
    <row r="38" spans="2:36" ht="15" customHeight="1" x14ac:dyDescent="0.3">
      <c r="B38" s="159" t="str">
        <f>IF(F25="SI","Referencia de pago:","Descripción del pago:")</f>
        <v>Descripción del pago:</v>
      </c>
      <c r="C38" s="159"/>
      <c r="D38" s="159"/>
      <c r="E38" s="159"/>
      <c r="F38" s="159"/>
      <c r="G38" s="95"/>
      <c r="I38" s="149"/>
      <c r="J38" s="149"/>
      <c r="K38" s="149"/>
      <c r="L38" s="149"/>
      <c r="M38" s="149"/>
      <c r="N38" s="149"/>
      <c r="O38" s="149"/>
      <c r="R38" s="160"/>
      <c r="S38" s="160"/>
      <c r="T38" s="160"/>
      <c r="U38" s="160"/>
      <c r="V38" s="160"/>
      <c r="W38" s="160"/>
      <c r="X38" s="160"/>
      <c r="AA38" s="116"/>
      <c r="AB38" s="112"/>
      <c r="AC38" s="103"/>
      <c r="AD38" s="103"/>
      <c r="AE38" s="103"/>
      <c r="AF38" s="103"/>
      <c r="AG38" s="103"/>
      <c r="AH38" s="103"/>
      <c r="AI38" s="103"/>
      <c r="AJ38" s="103"/>
    </row>
    <row r="39" spans="2:36" ht="6.6" customHeight="1" x14ac:dyDescent="0.3">
      <c r="B39" s="95"/>
      <c r="C39" s="95"/>
      <c r="D39" s="95"/>
      <c r="E39" s="95"/>
      <c r="F39" s="95"/>
      <c r="G39" s="95"/>
      <c r="I39" s="99"/>
      <c r="J39" s="99"/>
      <c r="K39" s="99"/>
      <c r="L39" s="99"/>
      <c r="M39" s="99"/>
      <c r="N39" s="99"/>
      <c r="O39" s="99"/>
      <c r="R39" s="95"/>
      <c r="S39" s="95"/>
      <c r="T39" s="95"/>
      <c r="U39" s="95"/>
      <c r="V39" s="95"/>
      <c r="W39" s="95"/>
      <c r="X39" s="95"/>
      <c r="AA39" s="107"/>
      <c r="AB39" s="7"/>
      <c r="AC39" s="103"/>
      <c r="AD39" s="103"/>
      <c r="AE39" s="103"/>
      <c r="AF39" s="103"/>
      <c r="AG39" s="103"/>
      <c r="AH39" s="103"/>
      <c r="AI39" s="103"/>
      <c r="AJ39" s="103"/>
    </row>
    <row r="40" spans="2:36" ht="15" customHeight="1" x14ac:dyDescent="0.3">
      <c r="B40" s="157" t="str">
        <f>IF(F25="SI","Descripción del pago:","Valor total del pago:")</f>
        <v>Valor total del pago:</v>
      </c>
      <c r="C40" s="157"/>
      <c r="D40" s="157"/>
      <c r="E40" s="157"/>
      <c r="F40" s="157"/>
      <c r="G40" s="95"/>
      <c r="I40" s="149"/>
      <c r="J40" s="149"/>
      <c r="K40" s="149"/>
      <c r="L40" s="149"/>
      <c r="M40" s="149"/>
      <c r="N40" s="149"/>
      <c r="O40" s="149"/>
      <c r="R40" s="160"/>
      <c r="S40" s="160"/>
      <c r="T40" s="160"/>
      <c r="U40" s="160"/>
      <c r="V40" s="160"/>
      <c r="W40" s="160"/>
      <c r="X40" s="160"/>
      <c r="AA40" s="116"/>
      <c r="AB40" s="8"/>
      <c r="AC40" s="103"/>
      <c r="AD40" s="103"/>
      <c r="AE40" s="103"/>
      <c r="AF40" s="103"/>
      <c r="AG40" s="103"/>
      <c r="AH40" s="103"/>
      <c r="AI40" s="103"/>
      <c r="AJ40" s="103"/>
    </row>
    <row r="41" spans="2:36" ht="6" hidden="1" customHeight="1" x14ac:dyDescent="0.3">
      <c r="B41" s="175" t="s">
        <v>1324</v>
      </c>
      <c r="C41" s="175"/>
      <c r="D41" s="175"/>
      <c r="E41" s="175"/>
      <c r="F41" s="175"/>
      <c r="G41" s="95"/>
      <c r="I41" s="119"/>
      <c r="J41" s="95"/>
      <c r="K41" s="95"/>
      <c r="L41" s="95"/>
      <c r="M41" s="95"/>
      <c r="N41" s="95"/>
      <c r="O41" s="95"/>
      <c r="P41" s="95"/>
      <c r="Q41" s="95"/>
      <c r="R41" s="95"/>
      <c r="S41" s="95"/>
      <c r="T41" s="95"/>
      <c r="U41" s="95"/>
      <c r="V41" s="95"/>
      <c r="W41" s="95"/>
      <c r="X41" s="95"/>
      <c r="Y41" s="95"/>
      <c r="Z41" s="95"/>
      <c r="AA41" s="120"/>
      <c r="AB41" s="103"/>
      <c r="AC41" s="103"/>
      <c r="AD41" s="103"/>
      <c r="AE41" s="103"/>
      <c r="AF41" s="103"/>
      <c r="AG41" s="103"/>
      <c r="AH41" s="103"/>
      <c r="AI41" s="103"/>
      <c r="AJ41" s="103"/>
    </row>
    <row r="42" spans="2:36" ht="6" hidden="1" customHeight="1" x14ac:dyDescent="0.3">
      <c r="B42" s="175"/>
      <c r="C42" s="175"/>
      <c r="D42" s="175"/>
      <c r="E42" s="175"/>
      <c r="F42" s="175"/>
      <c r="G42" s="95"/>
      <c r="I42" s="149"/>
      <c r="J42" s="149"/>
      <c r="K42" s="149"/>
      <c r="L42" s="149"/>
      <c r="M42" s="149"/>
      <c r="N42" s="149"/>
      <c r="O42" s="149"/>
      <c r="P42" s="95"/>
      <c r="Q42" s="95"/>
      <c r="R42" s="95"/>
      <c r="S42" s="95"/>
      <c r="T42" s="95"/>
      <c r="U42" s="95"/>
      <c r="V42" s="95"/>
      <c r="W42" s="95"/>
      <c r="X42" s="95"/>
      <c r="Y42" s="95"/>
      <c r="Z42" s="95"/>
      <c r="AA42" s="120"/>
      <c r="AB42" s="103"/>
      <c r="AC42" s="103"/>
      <c r="AD42" s="103"/>
      <c r="AE42" s="103"/>
      <c r="AF42" s="103"/>
      <c r="AG42" s="103"/>
      <c r="AH42" s="103"/>
      <c r="AI42" s="103"/>
      <c r="AJ42" s="103"/>
    </row>
    <row r="43" spans="2:36" ht="6" hidden="1" customHeight="1" x14ac:dyDescent="0.3">
      <c r="B43" s="175"/>
      <c r="C43" s="175"/>
      <c r="D43" s="175"/>
      <c r="E43" s="175"/>
      <c r="F43" s="175"/>
      <c r="G43" s="95"/>
      <c r="I43" s="149"/>
      <c r="J43" s="149"/>
      <c r="K43" s="149"/>
      <c r="L43" s="149"/>
      <c r="M43" s="149"/>
      <c r="N43" s="149"/>
      <c r="O43" s="149"/>
      <c r="P43" s="95"/>
      <c r="Q43" s="95"/>
      <c r="R43" s="95"/>
      <c r="S43" s="95"/>
      <c r="T43" s="95"/>
      <c r="U43" s="95"/>
      <c r="V43" s="95"/>
      <c r="W43" s="95"/>
      <c r="X43" s="95"/>
      <c r="Y43" s="95"/>
      <c r="Z43" s="95"/>
      <c r="AA43" s="120"/>
      <c r="AB43" s="103"/>
      <c r="AC43" s="103"/>
      <c r="AD43" s="103"/>
      <c r="AE43" s="103"/>
      <c r="AF43" s="103"/>
      <c r="AG43" s="103"/>
      <c r="AH43" s="103"/>
      <c r="AI43" s="103"/>
      <c r="AJ43" s="103"/>
    </row>
    <row r="44" spans="2:36" ht="21" customHeight="1" x14ac:dyDescent="0.3">
      <c r="B44" s="118"/>
      <c r="C44" s="118"/>
      <c r="D44" s="118"/>
      <c r="E44" s="118"/>
      <c r="F44" s="118"/>
      <c r="G44" s="95"/>
      <c r="I44" s="119"/>
      <c r="J44" s="95"/>
      <c r="K44" s="95"/>
      <c r="L44" s="95"/>
      <c r="M44" s="95"/>
      <c r="N44" s="95"/>
      <c r="O44" s="95"/>
      <c r="P44" s="95"/>
      <c r="Q44" s="95"/>
      <c r="R44" s="95"/>
      <c r="S44" s="95"/>
      <c r="T44" s="95"/>
      <c r="U44" s="95"/>
      <c r="V44" s="95"/>
      <c r="W44" s="95"/>
      <c r="X44" s="95"/>
      <c r="Y44" s="95"/>
      <c r="Z44" s="95"/>
      <c r="AA44" s="120"/>
      <c r="AB44" s="103"/>
      <c r="AC44" s="103"/>
      <c r="AD44" s="103"/>
      <c r="AE44" s="103"/>
      <c r="AF44" s="103"/>
      <c r="AG44" s="103"/>
      <c r="AH44" s="103"/>
      <c r="AI44" s="103"/>
      <c r="AJ44" s="103"/>
    </row>
    <row r="45" spans="2:36" ht="14.25" customHeight="1" x14ac:dyDescent="0.3">
      <c r="B45" s="118"/>
      <c r="C45" s="118"/>
      <c r="D45" s="118"/>
      <c r="E45" s="118"/>
      <c r="F45" s="118"/>
      <c r="G45" s="95"/>
      <c r="I45" s="119"/>
      <c r="J45" s="95"/>
      <c r="K45" s="95"/>
      <c r="L45" s="95"/>
      <c r="M45" s="95"/>
      <c r="N45" s="95"/>
      <c r="O45" s="95"/>
      <c r="P45" s="95"/>
      <c r="Q45" s="95"/>
      <c r="R45" s="95"/>
      <c r="S45" s="95"/>
      <c r="T45" s="95"/>
      <c r="U45" s="95"/>
      <c r="V45" s="95"/>
      <c r="W45" s="95"/>
      <c r="X45" s="95"/>
      <c r="Y45" s="95"/>
      <c r="Z45" s="95"/>
      <c r="AA45" s="120"/>
      <c r="AB45" s="103"/>
      <c r="AC45" s="103"/>
      <c r="AD45" s="103"/>
      <c r="AE45" s="103"/>
      <c r="AF45" s="103"/>
      <c r="AG45" s="103"/>
      <c r="AH45" s="103"/>
      <c r="AI45" s="103"/>
      <c r="AJ45" s="103"/>
    </row>
    <row r="46" spans="2:36" ht="15" customHeight="1" x14ac:dyDescent="0.3">
      <c r="B46" s="154" t="s">
        <v>37</v>
      </c>
      <c r="C46" s="154"/>
      <c r="D46" s="154"/>
      <c r="E46" s="154"/>
      <c r="F46" s="154"/>
      <c r="G46" s="154"/>
      <c r="H46" s="154"/>
      <c r="I46" s="154"/>
      <c r="J46" s="154"/>
      <c r="K46" s="154"/>
      <c r="L46" s="154"/>
      <c r="M46" s="154"/>
      <c r="N46" s="154"/>
      <c r="O46" s="154"/>
      <c r="P46" s="154"/>
      <c r="Q46" s="154"/>
      <c r="R46" s="154"/>
      <c r="S46" s="154"/>
      <c r="T46" s="154"/>
      <c r="U46" s="154"/>
      <c r="V46" s="154"/>
      <c r="W46" s="154"/>
      <c r="X46" s="154"/>
      <c r="Y46" s="154"/>
      <c r="Z46" s="154"/>
      <c r="AA46" s="154"/>
      <c r="AB46" s="103"/>
      <c r="AC46" s="103"/>
      <c r="AD46" s="103"/>
      <c r="AE46" s="103"/>
      <c r="AF46" s="103"/>
      <c r="AG46" s="103"/>
      <c r="AH46" s="103"/>
      <c r="AI46" s="103"/>
      <c r="AJ46" s="103"/>
    </row>
    <row r="47" spans="2:36" s="103" customFormat="1" ht="25.5" customHeight="1" x14ac:dyDescent="0.3">
      <c r="B47" s="174" t="s">
        <v>38</v>
      </c>
      <c r="C47" s="174"/>
      <c r="D47" s="174"/>
      <c r="E47" s="174"/>
      <c r="F47" s="174"/>
      <c r="G47" s="174"/>
      <c r="H47" s="174"/>
      <c r="I47" s="174"/>
      <c r="J47" s="174"/>
      <c r="K47" s="174"/>
      <c r="L47" s="174"/>
      <c r="M47" s="174"/>
      <c r="N47" s="174"/>
      <c r="O47" s="174"/>
      <c r="P47" s="174"/>
      <c r="Q47" s="174"/>
      <c r="R47" s="174"/>
      <c r="S47" s="174"/>
      <c r="T47" s="174"/>
      <c r="U47" s="174"/>
      <c r="V47" s="174"/>
      <c r="W47" s="174"/>
      <c r="X47" s="174"/>
      <c r="Y47" s="174"/>
      <c r="Z47" s="174"/>
      <c r="AA47" s="174"/>
    </row>
    <row r="48" spans="2:36" s="103" customFormat="1" ht="29.25" customHeight="1" x14ac:dyDescent="0.3">
      <c r="B48" s="153" t="s">
        <v>32</v>
      </c>
      <c r="C48" s="153"/>
      <c r="H48" s="121" t="s">
        <v>39</v>
      </c>
      <c r="J48" s="158" t="s">
        <v>40</v>
      </c>
      <c r="K48" s="158"/>
      <c r="L48" s="158"/>
      <c r="M48" s="153" t="s">
        <v>33</v>
      </c>
      <c r="N48" s="153"/>
      <c r="O48" s="153"/>
      <c r="P48" s="153"/>
      <c r="Q48" s="153"/>
      <c r="R48" s="153"/>
      <c r="S48" s="153"/>
      <c r="U48" s="153" t="s">
        <v>148</v>
      </c>
      <c r="V48" s="153"/>
      <c r="W48" s="153"/>
      <c r="X48" s="153"/>
      <c r="Y48" s="3"/>
      <c r="Z48" s="3"/>
      <c r="AA48" s="115" t="s">
        <v>35</v>
      </c>
      <c r="AB48" s="112"/>
    </row>
    <row r="49" spans="2:221" ht="21.75" customHeight="1" x14ac:dyDescent="0.3">
      <c r="B49" s="173" t="s">
        <v>149</v>
      </c>
      <c r="C49" s="173"/>
      <c r="D49" s="173"/>
      <c r="E49" s="95"/>
      <c r="F49" s="95"/>
      <c r="H49" s="113" t="s">
        <v>41</v>
      </c>
      <c r="J49" s="103"/>
      <c r="K49" s="103"/>
      <c r="L49" s="103"/>
      <c r="M49" s="103"/>
      <c r="N49" s="103"/>
      <c r="O49" s="103"/>
      <c r="P49" s="103"/>
      <c r="Q49" s="103"/>
      <c r="R49" s="103"/>
      <c r="S49" s="103"/>
      <c r="T49" s="103"/>
      <c r="U49" s="103"/>
      <c r="V49" s="103"/>
      <c r="W49" s="103"/>
      <c r="X49" s="103"/>
      <c r="Y49" s="103"/>
      <c r="Z49" s="103"/>
      <c r="AA49" s="103"/>
      <c r="AB49" s="112"/>
      <c r="AC49" s="103"/>
      <c r="AD49" s="103"/>
      <c r="AE49" s="103"/>
      <c r="AF49" s="103"/>
      <c r="AG49" s="103"/>
      <c r="AH49" s="103"/>
      <c r="AI49" s="103"/>
      <c r="AJ49" s="103"/>
    </row>
    <row r="50" spans="2:221" ht="15" customHeight="1" x14ac:dyDescent="0.3">
      <c r="B50" s="95"/>
      <c r="C50" s="95"/>
      <c r="D50" s="95"/>
      <c r="E50" s="95"/>
      <c r="F50" s="95"/>
      <c r="H50" s="119"/>
      <c r="K50" s="95"/>
      <c r="M50" s="122"/>
      <c r="N50" s="122"/>
      <c r="O50" s="122"/>
      <c r="P50" s="122"/>
      <c r="Q50" s="122"/>
      <c r="R50" s="122"/>
      <c r="S50" s="122"/>
      <c r="U50" s="95"/>
      <c r="V50" s="95"/>
      <c r="W50" s="95"/>
      <c r="X50" s="95"/>
      <c r="Y50" s="95"/>
      <c r="Z50" s="95"/>
      <c r="AB50" s="103"/>
      <c r="AC50" s="103"/>
      <c r="AD50" s="103"/>
      <c r="AE50" s="103"/>
      <c r="AF50" s="103"/>
      <c r="AG50" s="103"/>
      <c r="AH50" s="103"/>
      <c r="AI50" s="103"/>
      <c r="AJ50" s="103"/>
    </row>
    <row r="51" spans="2:221" ht="18" customHeight="1" x14ac:dyDescent="0.3">
      <c r="B51" s="157" t="s">
        <v>150</v>
      </c>
      <c r="C51" s="157"/>
      <c r="D51" s="157"/>
      <c r="E51" s="157"/>
      <c r="F51" s="157"/>
      <c r="H51" s="113" t="s">
        <v>41</v>
      </c>
      <c r="K51" s="113" t="s">
        <v>36</v>
      </c>
      <c r="M51" s="149"/>
      <c r="N51" s="149"/>
      <c r="O51" s="149"/>
      <c r="P51" s="149"/>
      <c r="Q51" s="149"/>
      <c r="R51" s="149"/>
      <c r="S51" s="149"/>
      <c r="U51" s="155"/>
      <c r="V51" s="155"/>
      <c r="W51" s="155"/>
      <c r="X51" s="155"/>
      <c r="Y51" s="112"/>
      <c r="AA51" s="116"/>
      <c r="AB51" s="112"/>
      <c r="AC51" s="103"/>
      <c r="AD51" s="103"/>
      <c r="AE51" s="103"/>
      <c r="AF51" s="103"/>
      <c r="AG51" s="103"/>
      <c r="AH51" s="103"/>
      <c r="AI51" s="103"/>
      <c r="AJ51" s="103"/>
    </row>
    <row r="52" spans="2:221" ht="21" customHeight="1" x14ac:dyDescent="0.3">
      <c r="B52" s="95"/>
      <c r="C52" s="95"/>
      <c r="D52" s="95"/>
      <c r="E52" s="95"/>
      <c r="F52" s="95"/>
      <c r="G52" s="95"/>
      <c r="I52" s="119"/>
      <c r="J52" s="95"/>
      <c r="K52" s="122"/>
      <c r="L52" s="122"/>
      <c r="M52" s="122"/>
      <c r="N52" s="122"/>
      <c r="O52" s="122"/>
      <c r="P52" s="122"/>
      <c r="Q52" s="122"/>
      <c r="R52" s="95"/>
      <c r="S52" s="95"/>
      <c r="T52" s="95"/>
      <c r="U52" s="95"/>
      <c r="V52" s="95"/>
      <c r="W52" s="95"/>
      <c r="X52" s="95"/>
      <c r="Y52" s="95"/>
      <c r="Z52" s="95"/>
      <c r="AA52" s="120"/>
      <c r="AB52" s="103"/>
      <c r="AC52" s="103"/>
      <c r="AD52" s="103"/>
      <c r="AE52" s="103"/>
      <c r="AF52" s="103"/>
      <c r="AG52" s="103"/>
      <c r="AH52" s="103"/>
      <c r="AI52" s="103"/>
      <c r="AJ52" s="103"/>
    </row>
    <row r="53" spans="2:221" ht="3.9" customHeight="1" x14ac:dyDescent="0.3">
      <c r="B53" s="95"/>
      <c r="C53" s="95"/>
      <c r="D53" s="95"/>
      <c r="E53" s="95"/>
      <c r="F53" s="95"/>
      <c r="G53" s="95"/>
      <c r="I53" s="119"/>
      <c r="J53" s="95"/>
      <c r="K53" s="122"/>
      <c r="L53" s="122"/>
      <c r="M53" s="122"/>
      <c r="N53" s="122"/>
      <c r="O53" s="122"/>
      <c r="P53" s="122"/>
      <c r="Q53" s="122"/>
      <c r="R53" s="95"/>
      <c r="S53" s="95"/>
      <c r="T53" s="95"/>
      <c r="U53" s="95"/>
      <c r="V53" s="95"/>
      <c r="W53" s="95"/>
      <c r="X53" s="95"/>
      <c r="Y53" s="95"/>
      <c r="Z53" s="95"/>
      <c r="AA53" s="120"/>
      <c r="AB53" s="103"/>
      <c r="AC53" s="103"/>
      <c r="AD53" s="103"/>
      <c r="AE53" s="103"/>
      <c r="AF53" s="103"/>
      <c r="AG53" s="103"/>
      <c r="AH53" s="103"/>
      <c r="AI53" s="103"/>
      <c r="AJ53" s="103"/>
    </row>
    <row r="54" spans="2:221" x14ac:dyDescent="0.3">
      <c r="B54" s="95"/>
      <c r="C54" s="95"/>
      <c r="D54" s="95"/>
      <c r="E54" s="95"/>
      <c r="F54" s="95"/>
      <c r="G54" s="95"/>
      <c r="I54" s="119"/>
      <c r="J54" s="95"/>
      <c r="K54" s="122"/>
      <c r="L54" s="122"/>
      <c r="M54" s="122"/>
      <c r="N54" s="122"/>
      <c r="O54" s="122"/>
      <c r="P54" s="122"/>
      <c r="Q54" s="122"/>
      <c r="R54" s="95"/>
      <c r="S54" s="95"/>
      <c r="T54" s="95"/>
      <c r="U54" s="95"/>
      <c r="V54" s="95"/>
      <c r="W54" s="95"/>
      <c r="X54" s="95"/>
      <c r="Y54" s="95"/>
      <c r="Z54" s="95"/>
      <c r="AA54" s="120"/>
      <c r="AB54" s="103"/>
      <c r="AC54" s="103"/>
      <c r="AD54" s="103"/>
      <c r="AE54" s="103"/>
      <c r="AF54" s="103"/>
      <c r="AG54" s="103"/>
      <c r="AH54" s="103"/>
      <c r="AI54" s="103"/>
      <c r="AJ54" s="103"/>
    </row>
    <row r="55" spans="2:221" x14ac:dyDescent="0.3">
      <c r="B55" s="157" t="s">
        <v>1341</v>
      </c>
      <c r="C55" s="157"/>
      <c r="D55" s="157"/>
      <c r="E55" s="157"/>
      <c r="F55" s="113" t="s">
        <v>36</v>
      </c>
      <c r="G55" s="95"/>
      <c r="I55" s="119"/>
      <c r="J55" s="95"/>
      <c r="K55" s="122"/>
      <c r="L55" s="122"/>
      <c r="M55" s="122"/>
      <c r="N55" s="122"/>
      <c r="O55" s="122"/>
      <c r="P55" s="122"/>
      <c r="Q55" s="122"/>
      <c r="R55" s="95"/>
      <c r="S55" s="95"/>
      <c r="T55" s="95"/>
      <c r="U55" s="95"/>
      <c r="V55" s="95"/>
      <c r="W55" s="95"/>
      <c r="X55" s="95"/>
      <c r="Y55" s="95"/>
      <c r="Z55" s="95"/>
      <c r="AA55" s="120"/>
    </row>
    <row r="56" spans="2:221" x14ac:dyDescent="0.3">
      <c r="B56" s="95"/>
      <c r="C56" s="95"/>
      <c r="D56" s="95"/>
      <c r="E56" s="95"/>
      <c r="F56" s="95"/>
      <c r="G56" s="95"/>
      <c r="I56" s="119"/>
      <c r="J56" s="95"/>
      <c r="K56" s="122"/>
      <c r="L56" s="122"/>
      <c r="M56" s="122"/>
      <c r="N56" s="122"/>
      <c r="O56" s="122"/>
      <c r="P56" s="122"/>
      <c r="Q56" s="122"/>
      <c r="R56" s="95"/>
      <c r="S56" s="95"/>
      <c r="T56" s="95"/>
      <c r="U56" s="95"/>
      <c r="V56" s="95"/>
      <c r="W56" s="95"/>
      <c r="X56" s="95"/>
      <c r="Y56" s="95"/>
      <c r="Z56" s="95"/>
      <c r="AA56" s="120"/>
    </row>
    <row r="57" spans="2:221" ht="3.75" customHeight="1" x14ac:dyDescent="0.3">
      <c r="B57" s="95"/>
      <c r="C57" s="95"/>
      <c r="D57" s="95"/>
      <c r="E57" s="95"/>
      <c r="F57" s="95"/>
      <c r="G57" s="95"/>
      <c r="I57" s="119"/>
      <c r="J57" s="95"/>
      <c r="K57" s="122"/>
      <c r="L57" s="122"/>
      <c r="M57" s="122"/>
      <c r="N57" s="122"/>
      <c r="O57" s="122"/>
      <c r="P57" s="122"/>
      <c r="Q57" s="122"/>
      <c r="R57" s="95"/>
      <c r="S57" s="95"/>
      <c r="T57" s="95"/>
      <c r="U57" s="95"/>
      <c r="V57" s="95"/>
      <c r="W57" s="95"/>
      <c r="X57" s="95"/>
      <c r="Y57" s="95"/>
      <c r="Z57" s="95"/>
      <c r="AA57" s="120"/>
    </row>
    <row r="58" spans="2:221" ht="3.75" customHeight="1" x14ac:dyDescent="0.3">
      <c r="B58" s="95"/>
      <c r="C58" s="95"/>
      <c r="D58" s="95"/>
      <c r="E58" s="95"/>
      <c r="F58" s="95"/>
      <c r="G58" s="95"/>
      <c r="I58" s="119"/>
      <c r="J58" s="95"/>
      <c r="K58" s="122"/>
      <c r="L58" s="122"/>
      <c r="M58" s="122"/>
      <c r="N58" s="122"/>
      <c r="O58" s="122"/>
      <c r="P58" s="122"/>
      <c r="Q58" s="122"/>
      <c r="R58" s="95"/>
      <c r="S58" s="95"/>
      <c r="T58" s="95"/>
      <c r="U58" s="95"/>
      <c r="V58" s="95"/>
      <c r="W58" s="95"/>
      <c r="X58" s="95"/>
      <c r="Y58" s="95"/>
      <c r="Z58" s="95"/>
      <c r="AA58" s="120"/>
    </row>
    <row r="59" spans="2:221" ht="15" customHeight="1" x14ac:dyDescent="0.3">
      <c r="B59" s="154" t="s">
        <v>42</v>
      </c>
      <c r="C59" s="154"/>
      <c r="D59" s="154"/>
      <c r="E59" s="154"/>
      <c r="F59" s="154"/>
      <c r="G59" s="154"/>
      <c r="H59" s="154"/>
      <c r="I59" s="154"/>
      <c r="J59" s="154"/>
      <c r="K59" s="154"/>
      <c r="L59" s="154"/>
      <c r="M59" s="154"/>
      <c r="N59" s="154"/>
      <c r="O59" s="154"/>
      <c r="P59" s="154"/>
      <c r="Q59" s="154"/>
      <c r="R59" s="154"/>
      <c r="S59" s="154"/>
      <c r="T59" s="154"/>
      <c r="U59" s="154"/>
      <c r="V59" s="154"/>
      <c r="W59" s="154"/>
      <c r="X59" s="154"/>
      <c r="Y59" s="154"/>
      <c r="Z59" s="154"/>
      <c r="AA59" s="154"/>
      <c r="AB59" s="7"/>
    </row>
    <row r="60" spans="2:221" ht="30" customHeight="1" x14ac:dyDescent="0.3">
      <c r="B60" s="156" t="s">
        <v>43</v>
      </c>
      <c r="C60" s="157"/>
      <c r="D60" s="157"/>
      <c r="E60" s="157"/>
      <c r="F60" s="157"/>
      <c r="G60" s="157"/>
      <c r="H60" s="157"/>
      <c r="I60" s="157"/>
      <c r="J60" s="157"/>
      <c r="K60" s="157"/>
      <c r="L60" s="157"/>
      <c r="M60" s="157"/>
      <c r="N60" s="157"/>
      <c r="O60" s="157"/>
      <c r="P60" s="157"/>
      <c r="Q60" s="157"/>
      <c r="R60" s="157"/>
      <c r="S60" s="157"/>
      <c r="T60" s="157"/>
      <c r="U60" s="157"/>
      <c r="V60" s="157"/>
      <c r="W60" s="157"/>
      <c r="X60" s="157"/>
      <c r="Y60" s="157"/>
      <c r="Z60" s="157"/>
      <c r="AA60" s="157"/>
    </row>
    <row r="61" spans="2:221" ht="30" customHeight="1" x14ac:dyDescent="0.3">
      <c r="B61" s="123"/>
      <c r="C61" s="117"/>
      <c r="D61" s="117"/>
      <c r="E61" s="117"/>
      <c r="F61" s="117"/>
      <c r="G61" s="117"/>
      <c r="H61" s="117"/>
      <c r="I61" s="117"/>
      <c r="J61" s="117"/>
      <c r="K61" s="117"/>
      <c r="L61" s="117"/>
      <c r="M61" s="117"/>
      <c r="N61" s="117"/>
      <c r="O61" s="117"/>
      <c r="P61" s="117"/>
      <c r="Q61" s="117"/>
      <c r="R61" s="117"/>
      <c r="S61" s="117"/>
      <c r="T61" s="117"/>
      <c r="U61" s="117"/>
      <c r="V61" s="117"/>
      <c r="W61" s="117"/>
      <c r="X61" s="117"/>
      <c r="Y61" s="117"/>
      <c r="Z61" s="117"/>
      <c r="AA61" s="117"/>
    </row>
    <row r="62" spans="2:221" ht="24.75" customHeight="1" x14ac:dyDescent="0.3">
      <c r="B62" s="153" t="s">
        <v>32</v>
      </c>
      <c r="C62" s="153"/>
      <c r="D62" s="123"/>
      <c r="E62" s="123"/>
      <c r="F62" s="123"/>
      <c r="G62" s="123"/>
      <c r="H62" s="121" t="s">
        <v>39</v>
      </c>
      <c r="I62" s="123"/>
      <c r="J62" s="158" t="s">
        <v>40</v>
      </c>
      <c r="K62" s="158"/>
      <c r="L62" s="158"/>
      <c r="M62" s="153" t="s">
        <v>33</v>
      </c>
      <c r="N62" s="153"/>
      <c r="O62" s="153"/>
      <c r="P62" s="153"/>
      <c r="Q62" s="153"/>
      <c r="R62" s="153"/>
      <c r="S62" s="153"/>
      <c r="T62" s="123"/>
      <c r="U62" s="153" t="s">
        <v>148</v>
      </c>
      <c r="V62" s="153"/>
      <c r="W62" s="153"/>
      <c r="X62" s="153"/>
      <c r="Y62" s="3"/>
      <c r="Z62" s="3"/>
      <c r="AA62" s="115" t="s">
        <v>35</v>
      </c>
      <c r="AB62" s="112"/>
      <c r="AC62" s="103"/>
      <c r="AD62" s="103"/>
      <c r="AE62" s="103"/>
      <c r="AF62" s="103"/>
      <c r="AG62" s="103"/>
      <c r="AH62" s="103"/>
      <c r="AI62" s="103"/>
      <c r="AJ62" s="103"/>
      <c r="AK62" s="103"/>
      <c r="AL62" s="103"/>
      <c r="AM62" s="103"/>
      <c r="AN62" s="103"/>
      <c r="AO62" s="103"/>
      <c r="AP62" s="103"/>
      <c r="AQ62" s="103"/>
      <c r="AR62" s="103"/>
      <c r="AS62" s="103"/>
      <c r="AT62" s="103"/>
      <c r="AU62" s="103"/>
      <c r="AV62" s="103"/>
      <c r="AW62" s="103"/>
      <c r="AX62" s="103"/>
      <c r="AY62" s="103"/>
      <c r="AZ62" s="103"/>
      <c r="BA62" s="103"/>
      <c r="BB62" s="103"/>
      <c r="BC62" s="103"/>
      <c r="BD62" s="103"/>
      <c r="BE62" s="103"/>
      <c r="BF62" s="103"/>
      <c r="BG62" s="103"/>
      <c r="BH62" s="103"/>
      <c r="BI62" s="103"/>
      <c r="BJ62" s="103"/>
      <c r="BK62" s="103"/>
      <c r="BL62" s="103"/>
      <c r="BM62" s="103"/>
      <c r="BN62" s="103"/>
      <c r="BO62" s="103"/>
      <c r="BP62" s="103"/>
      <c r="BQ62" s="103"/>
      <c r="BR62" s="103"/>
      <c r="BS62" s="103"/>
      <c r="BT62" s="103"/>
      <c r="BU62" s="103"/>
      <c r="BV62" s="103"/>
      <c r="BW62" s="103"/>
      <c r="BX62" s="103"/>
      <c r="BY62" s="103"/>
      <c r="BZ62" s="103"/>
      <c r="CA62" s="103"/>
      <c r="CB62" s="103"/>
      <c r="CC62" s="103"/>
      <c r="CD62" s="103"/>
      <c r="CE62" s="103"/>
      <c r="CF62" s="103"/>
      <c r="CG62" s="103"/>
      <c r="CH62" s="103"/>
      <c r="CI62" s="103"/>
      <c r="CJ62" s="103"/>
      <c r="CK62" s="103"/>
      <c r="CL62" s="103"/>
      <c r="CM62" s="103"/>
      <c r="CN62" s="103"/>
      <c r="CO62" s="103"/>
      <c r="CP62" s="103"/>
      <c r="CQ62" s="103"/>
      <c r="CR62" s="103"/>
      <c r="CS62" s="103"/>
      <c r="CT62" s="103"/>
      <c r="CU62" s="103"/>
      <c r="CV62" s="103"/>
      <c r="CW62" s="103"/>
      <c r="CX62" s="103"/>
      <c r="CY62" s="103"/>
      <c r="CZ62" s="103"/>
      <c r="DA62" s="103"/>
      <c r="DB62" s="103"/>
      <c r="DC62" s="103"/>
      <c r="DD62" s="103"/>
      <c r="DE62" s="103"/>
      <c r="DF62" s="103"/>
      <c r="DG62" s="103"/>
      <c r="DH62" s="103"/>
      <c r="DI62" s="103"/>
      <c r="DJ62" s="103"/>
      <c r="DK62" s="103"/>
      <c r="DL62" s="103"/>
      <c r="DM62" s="103"/>
      <c r="DN62" s="103"/>
      <c r="DO62" s="103"/>
      <c r="DP62" s="103"/>
      <c r="DQ62" s="103"/>
      <c r="DR62" s="103"/>
      <c r="DS62" s="103"/>
      <c r="DT62" s="103"/>
      <c r="DU62" s="103"/>
      <c r="DV62" s="103"/>
      <c r="DW62" s="103"/>
      <c r="DX62" s="103"/>
      <c r="DY62" s="103"/>
      <c r="DZ62" s="103"/>
      <c r="EA62" s="103"/>
      <c r="EB62" s="103"/>
      <c r="EC62" s="103"/>
      <c r="ED62" s="103"/>
      <c r="EE62" s="103"/>
      <c r="EF62" s="103"/>
      <c r="EG62" s="103"/>
      <c r="EH62" s="103"/>
      <c r="EI62" s="103"/>
      <c r="EJ62" s="103"/>
      <c r="EK62" s="103"/>
      <c r="EL62" s="103"/>
      <c r="EM62" s="103"/>
      <c r="EN62" s="103"/>
      <c r="EO62" s="103"/>
      <c r="EP62" s="103"/>
      <c r="EQ62" s="103"/>
      <c r="ER62" s="103"/>
      <c r="ES62" s="103"/>
      <c r="ET62" s="103"/>
      <c r="EU62" s="103"/>
      <c r="EV62" s="103"/>
      <c r="EW62" s="103"/>
      <c r="EX62" s="103"/>
      <c r="EY62" s="103"/>
      <c r="EZ62" s="103"/>
      <c r="FA62" s="103"/>
      <c r="FB62" s="103"/>
      <c r="FC62" s="103"/>
      <c r="FD62" s="103"/>
      <c r="FE62" s="103"/>
      <c r="FF62" s="103"/>
      <c r="FG62" s="103"/>
      <c r="FH62" s="103"/>
      <c r="FI62" s="103"/>
      <c r="FJ62" s="103"/>
      <c r="FK62" s="103"/>
      <c r="FL62" s="103"/>
      <c r="FM62" s="103"/>
      <c r="FN62" s="103"/>
      <c r="FO62" s="103"/>
      <c r="FP62" s="103"/>
      <c r="FQ62" s="103"/>
      <c r="FR62" s="103"/>
      <c r="FS62" s="103"/>
      <c r="FT62" s="103"/>
      <c r="FU62" s="103"/>
      <c r="FV62" s="103"/>
      <c r="FW62" s="103"/>
      <c r="FX62" s="103"/>
      <c r="FY62" s="103"/>
      <c r="FZ62" s="103"/>
      <c r="GA62" s="103"/>
      <c r="GB62" s="103"/>
      <c r="GC62" s="103"/>
      <c r="GD62" s="103"/>
      <c r="GE62" s="103"/>
      <c r="GF62" s="103"/>
      <c r="GG62" s="103"/>
      <c r="GH62" s="103"/>
      <c r="GI62" s="103"/>
      <c r="GJ62" s="103"/>
      <c r="GK62" s="103"/>
      <c r="GL62" s="103"/>
      <c r="GM62" s="103"/>
      <c r="GN62" s="103"/>
      <c r="GO62" s="103"/>
      <c r="GP62" s="103"/>
      <c r="GQ62" s="103"/>
      <c r="GR62" s="103"/>
      <c r="GS62" s="103"/>
      <c r="GT62" s="103"/>
      <c r="GU62" s="103"/>
      <c r="GV62" s="103"/>
      <c r="GW62" s="103"/>
      <c r="GX62" s="103"/>
      <c r="GY62" s="103"/>
      <c r="GZ62" s="103"/>
      <c r="HA62" s="103"/>
      <c r="HB62" s="103"/>
      <c r="HC62" s="103"/>
      <c r="HD62" s="103"/>
      <c r="HE62" s="103"/>
      <c r="HF62" s="103"/>
      <c r="HG62" s="103"/>
      <c r="HH62" s="103"/>
      <c r="HI62" s="103"/>
      <c r="HJ62" s="103"/>
      <c r="HK62" s="103"/>
      <c r="HL62" s="103"/>
      <c r="HM62" s="103"/>
    </row>
    <row r="63" spans="2:221" ht="15" customHeight="1" x14ac:dyDescent="0.3">
      <c r="B63" s="95" t="s">
        <v>44</v>
      </c>
      <c r="C63" s="95"/>
      <c r="D63" s="95"/>
      <c r="E63" s="123"/>
      <c r="F63" s="123"/>
      <c r="G63" s="123"/>
      <c r="H63" s="113" t="s">
        <v>41</v>
      </c>
      <c r="I63" s="123"/>
      <c r="J63" s="123"/>
      <c r="K63" s="113" t="s">
        <v>14</v>
      </c>
      <c r="L63" s="123"/>
      <c r="M63" s="149"/>
      <c r="N63" s="149"/>
      <c r="O63" s="149"/>
      <c r="P63" s="149"/>
      <c r="Q63" s="149"/>
      <c r="R63" s="149"/>
      <c r="S63" s="149"/>
      <c r="T63" s="123"/>
      <c r="U63" s="150"/>
      <c r="V63" s="150"/>
      <c r="W63" s="150"/>
      <c r="X63" s="150"/>
      <c r="Y63" s="112"/>
      <c r="Z63" s="112"/>
      <c r="AA63" s="116"/>
      <c r="AB63" s="112"/>
    </row>
    <row r="64" spans="2:221" ht="6" customHeight="1" x14ac:dyDescent="0.3">
      <c r="B64" s="117"/>
      <c r="C64" s="123"/>
      <c r="D64" s="123"/>
      <c r="E64" s="123"/>
      <c r="F64" s="123"/>
      <c r="G64" s="123"/>
      <c r="H64" s="119"/>
      <c r="I64" s="123"/>
      <c r="J64" s="123"/>
      <c r="K64" s="119"/>
      <c r="L64" s="123"/>
      <c r="M64" s="124"/>
      <c r="N64" s="124"/>
      <c r="O64" s="124"/>
      <c r="P64" s="124"/>
      <c r="Q64" s="124"/>
      <c r="R64" s="124"/>
      <c r="S64" s="124"/>
      <c r="T64" s="123"/>
      <c r="U64" s="124"/>
      <c r="V64" s="124"/>
      <c r="W64" s="124"/>
      <c r="X64" s="124"/>
      <c r="AA64" s="93"/>
    </row>
    <row r="65" spans="2:33" ht="15" customHeight="1" x14ac:dyDescent="0.3">
      <c r="B65" s="95" t="s">
        <v>45</v>
      </c>
      <c r="C65" s="95"/>
      <c r="D65" s="95"/>
      <c r="E65" s="123"/>
      <c r="F65" s="123"/>
      <c r="G65" s="123"/>
      <c r="H65" s="113" t="s">
        <v>41</v>
      </c>
      <c r="I65" s="123"/>
      <c r="J65" s="123"/>
      <c r="K65" s="113" t="s">
        <v>14</v>
      </c>
      <c r="L65" s="123"/>
      <c r="M65" s="149"/>
      <c r="N65" s="149"/>
      <c r="O65" s="149"/>
      <c r="P65" s="149"/>
      <c r="Q65" s="149"/>
      <c r="R65" s="149"/>
      <c r="S65" s="149"/>
      <c r="T65" s="123"/>
      <c r="U65" s="150"/>
      <c r="V65" s="150"/>
      <c r="W65" s="150"/>
      <c r="X65" s="150"/>
      <c r="Y65" s="112"/>
      <c r="Z65" s="112"/>
      <c r="AA65" s="116"/>
      <c r="AB65" s="112"/>
    </row>
    <row r="66" spans="2:33" ht="6" customHeight="1" x14ac:dyDescent="0.3">
      <c r="B66" s="117"/>
      <c r="C66" s="123"/>
      <c r="D66" s="123"/>
      <c r="E66" s="123"/>
      <c r="F66" s="123"/>
      <c r="G66" s="123"/>
      <c r="H66" s="119"/>
      <c r="I66" s="123"/>
      <c r="J66" s="123"/>
      <c r="K66" s="119"/>
      <c r="L66" s="123"/>
      <c r="M66" s="124"/>
      <c r="N66" s="124"/>
      <c r="O66" s="124"/>
      <c r="P66" s="124"/>
      <c r="Q66" s="124"/>
      <c r="R66" s="124"/>
      <c r="S66" s="124"/>
      <c r="T66" s="123"/>
      <c r="U66" s="125"/>
      <c r="V66" s="125"/>
      <c r="W66" s="125"/>
      <c r="X66" s="125"/>
      <c r="AA66" s="93"/>
    </row>
    <row r="67" spans="2:33" ht="15" customHeight="1" x14ac:dyDescent="0.3">
      <c r="B67" s="95" t="s">
        <v>46</v>
      </c>
      <c r="C67" s="95"/>
      <c r="D67" s="95"/>
      <c r="E67" s="123"/>
      <c r="F67" s="123"/>
      <c r="G67" s="123"/>
      <c r="H67" s="113" t="s">
        <v>41</v>
      </c>
      <c r="I67" s="123"/>
      <c r="J67" s="123"/>
      <c r="K67" s="113" t="s">
        <v>14</v>
      </c>
      <c r="L67" s="123"/>
      <c r="M67" s="149"/>
      <c r="N67" s="149"/>
      <c r="O67" s="149"/>
      <c r="P67" s="149"/>
      <c r="Q67" s="149"/>
      <c r="R67" s="149"/>
      <c r="S67" s="149"/>
      <c r="T67" s="123"/>
      <c r="U67" s="150"/>
      <c r="V67" s="150"/>
      <c r="W67" s="150"/>
      <c r="X67" s="150"/>
      <c r="Y67" s="112"/>
      <c r="Z67" s="112"/>
      <c r="AA67" s="116"/>
      <c r="AB67" s="112"/>
    </row>
    <row r="68" spans="2:33" ht="6" customHeight="1" x14ac:dyDescent="0.3">
      <c r="B68" s="117"/>
      <c r="C68" s="123"/>
      <c r="D68" s="123"/>
      <c r="E68" s="123"/>
      <c r="F68" s="123"/>
      <c r="G68" s="123"/>
      <c r="H68" s="119"/>
      <c r="I68" s="123"/>
      <c r="J68" s="123"/>
      <c r="K68" s="119"/>
      <c r="L68" s="123"/>
      <c r="M68" s="124"/>
      <c r="N68" s="124"/>
      <c r="O68" s="124"/>
      <c r="P68" s="124"/>
      <c r="Q68" s="124"/>
      <c r="R68" s="124"/>
      <c r="S68" s="124"/>
      <c r="T68" s="123"/>
      <c r="U68" s="125"/>
      <c r="V68" s="125"/>
      <c r="W68" s="125"/>
      <c r="X68" s="125"/>
      <c r="AA68" s="93"/>
    </row>
    <row r="69" spans="2:33" ht="15" customHeight="1" x14ac:dyDescent="0.3">
      <c r="B69" s="95" t="s">
        <v>47</v>
      </c>
      <c r="C69" s="95"/>
      <c r="D69" s="95"/>
      <c r="E69" s="123"/>
      <c r="F69" s="123"/>
      <c r="G69" s="123"/>
      <c r="H69" s="113" t="s">
        <v>41</v>
      </c>
      <c r="I69" s="123"/>
      <c r="J69" s="123"/>
      <c r="K69" s="113" t="s">
        <v>14</v>
      </c>
      <c r="L69" s="123"/>
      <c r="M69" s="149"/>
      <c r="N69" s="149"/>
      <c r="O69" s="149"/>
      <c r="P69" s="149"/>
      <c r="Q69" s="149"/>
      <c r="R69" s="149"/>
      <c r="S69" s="149"/>
      <c r="T69" s="123"/>
      <c r="U69" s="150"/>
      <c r="V69" s="150"/>
      <c r="W69" s="150"/>
      <c r="X69" s="150"/>
      <c r="Y69" s="112"/>
      <c r="Z69" s="112"/>
      <c r="AA69" s="116"/>
      <c r="AB69" s="112"/>
    </row>
    <row r="71" spans="2:33" ht="15" hidden="1" customHeight="1" x14ac:dyDescent="0.3">
      <c r="B71" s="152" t="s">
        <v>23</v>
      </c>
      <c r="C71" s="152"/>
      <c r="D71" s="152"/>
      <c r="E71" s="152"/>
      <c r="F71" s="152"/>
      <c r="G71" s="152"/>
      <c r="H71" s="152"/>
      <c r="I71" s="152"/>
      <c r="J71" s="152"/>
      <c r="K71" s="152"/>
      <c r="L71" s="152"/>
      <c r="M71" s="152"/>
      <c r="N71" s="152"/>
      <c r="O71" s="152"/>
      <c r="P71" s="152"/>
      <c r="Q71" s="152"/>
      <c r="R71" s="152"/>
      <c r="S71" s="152"/>
      <c r="T71" s="152"/>
      <c r="U71" s="152"/>
      <c r="V71" s="152"/>
      <c r="W71" s="152"/>
      <c r="X71" s="152"/>
      <c r="Y71" s="152"/>
      <c r="Z71" s="152"/>
      <c r="AA71" s="152"/>
    </row>
    <row r="72" spans="2:33" ht="27.75" hidden="1" customHeight="1" x14ac:dyDescent="0.3">
      <c r="B72" s="179" t="s">
        <v>1322</v>
      </c>
      <c r="C72" s="179"/>
      <c r="D72" s="179"/>
      <c r="E72" s="179"/>
      <c r="F72" s="179"/>
      <c r="G72" s="179"/>
      <c r="H72" s="179"/>
      <c r="I72" s="179"/>
      <c r="J72" s="179"/>
      <c r="K72" s="179"/>
      <c r="L72" s="179"/>
      <c r="M72" s="179"/>
      <c r="N72" s="179"/>
      <c r="O72" s="179"/>
      <c r="P72" s="179"/>
      <c r="Q72" s="179"/>
      <c r="R72" s="179"/>
      <c r="S72" s="179"/>
      <c r="T72" s="179"/>
      <c r="U72" s="179"/>
      <c r="V72" s="179"/>
      <c r="W72" s="179"/>
      <c r="X72" s="179"/>
      <c r="Y72" s="179"/>
      <c r="Z72" s="179"/>
      <c r="AA72" s="179"/>
      <c r="AB72" s="95"/>
    </row>
    <row r="73" spans="2:33" s="128" customFormat="1" ht="27" hidden="1" customHeight="1" x14ac:dyDescent="0.3">
      <c r="B73" s="176" t="s">
        <v>156</v>
      </c>
      <c r="C73" s="176"/>
      <c r="D73" s="176"/>
      <c r="E73" s="176"/>
      <c r="F73" s="176"/>
      <c r="G73" s="176"/>
      <c r="H73" s="176"/>
      <c r="I73" s="176"/>
      <c r="J73" s="180" t="e">
        <f>IF(#REF!="- seleccione - ",1205125,IF(#REF!="SI",1205125+583202,1205125))</f>
        <v>#REF!</v>
      </c>
      <c r="K73" s="180"/>
      <c r="L73" s="180"/>
      <c r="M73" s="180"/>
      <c r="N73" s="180"/>
      <c r="O73" s="180"/>
      <c r="P73" s="127"/>
      <c r="Q73" s="127"/>
      <c r="R73" s="127"/>
      <c r="S73" s="151" t="s">
        <v>157</v>
      </c>
      <c r="T73" s="151"/>
      <c r="U73" s="151"/>
      <c r="V73" s="151"/>
      <c r="W73" s="181" t="s">
        <v>16</v>
      </c>
      <c r="X73" s="181"/>
      <c r="Y73" s="181"/>
      <c r="Z73" s="181"/>
      <c r="AA73" s="181"/>
      <c r="AB73" s="107"/>
      <c r="AC73" s="181" t="s">
        <v>16</v>
      </c>
      <c r="AD73" s="181"/>
      <c r="AE73" s="181"/>
      <c r="AF73" s="181"/>
      <c r="AG73" s="181"/>
    </row>
    <row r="74" spans="2:33" ht="15" hidden="1" customHeight="1" x14ac:dyDescent="0.3">
      <c r="B74" s="95"/>
      <c r="C74" s="95"/>
      <c r="D74" s="95"/>
      <c r="E74" s="95"/>
      <c r="F74" s="95"/>
      <c r="G74" s="95"/>
      <c r="H74" s="95"/>
      <c r="I74" s="95"/>
      <c r="J74" s="95"/>
      <c r="K74" s="95"/>
      <c r="L74" s="95"/>
      <c r="M74" s="95"/>
      <c r="N74" s="95"/>
      <c r="O74" s="95"/>
      <c r="P74" s="95"/>
      <c r="Q74" s="95"/>
      <c r="R74" s="95"/>
      <c r="S74" s="95"/>
      <c r="T74" s="95"/>
      <c r="U74" s="95"/>
      <c r="V74" s="95"/>
      <c r="W74" s="95"/>
      <c r="X74" s="95"/>
      <c r="Y74" s="95"/>
      <c r="Z74" s="95"/>
      <c r="AB74" s="95"/>
    </row>
    <row r="75" spans="2:33" ht="27" hidden="1" customHeight="1" x14ac:dyDescent="0.3">
      <c r="B75" s="148" t="s">
        <v>1321</v>
      </c>
      <c r="C75" s="148"/>
      <c r="D75" s="148"/>
      <c r="E75" s="148"/>
      <c r="F75" s="129"/>
      <c r="G75" s="129"/>
      <c r="H75" s="129"/>
      <c r="I75" s="151" t="s">
        <v>157</v>
      </c>
      <c r="J75" s="151"/>
      <c r="K75" s="151"/>
      <c r="L75" s="151"/>
      <c r="M75" s="181" t="s">
        <v>16</v>
      </c>
      <c r="N75" s="181"/>
      <c r="O75" s="181"/>
      <c r="P75" s="181"/>
      <c r="Q75" s="95"/>
      <c r="R75" s="181" t="s">
        <v>16</v>
      </c>
      <c r="S75" s="181"/>
      <c r="T75" s="181"/>
      <c r="U75" s="181"/>
      <c r="V75" s="181"/>
      <c r="AA75" s="93"/>
    </row>
    <row r="76" spans="2:33" ht="6" hidden="1" customHeight="1" x14ac:dyDescent="0.3">
      <c r="B76" s="117"/>
      <c r="C76" s="117"/>
      <c r="D76" s="117"/>
      <c r="E76" s="117"/>
      <c r="F76" s="107"/>
      <c r="G76" s="107"/>
      <c r="H76" s="107"/>
      <c r="I76" s="107"/>
      <c r="J76" s="95"/>
      <c r="K76" s="126"/>
      <c r="L76" s="126"/>
      <c r="M76" s="126"/>
      <c r="N76" s="130"/>
      <c r="O76" s="130"/>
      <c r="P76" s="130"/>
      <c r="Q76" s="130"/>
      <c r="R76" s="130"/>
      <c r="S76" s="130"/>
      <c r="T76" s="107"/>
      <c r="U76" s="107"/>
      <c r="V76" s="107"/>
      <c r="W76" s="107"/>
      <c r="X76" s="107"/>
      <c r="Y76" s="107"/>
      <c r="Z76" s="107"/>
      <c r="AA76" s="107"/>
      <c r="AB76" s="107"/>
    </row>
    <row r="77" spans="2:33" s="101" customFormat="1" ht="12.75" hidden="1" customHeight="1" x14ac:dyDescent="0.3">
      <c r="B77" s="176" t="s">
        <v>158</v>
      </c>
      <c r="C77" s="176"/>
      <c r="D77" s="176"/>
      <c r="E77" s="176"/>
      <c r="F77" s="176"/>
      <c r="G77" s="176"/>
      <c r="H77" s="176"/>
      <c r="I77" s="126"/>
      <c r="J77" s="176" t="s">
        <v>24</v>
      </c>
      <c r="K77" s="176"/>
      <c r="L77" s="177" t="s">
        <v>25</v>
      </c>
      <c r="M77" s="177"/>
      <c r="N77" s="177"/>
      <c r="O77" s="177"/>
      <c r="P77" s="131"/>
      <c r="Q77" s="176" t="s">
        <v>26</v>
      </c>
      <c r="R77" s="176"/>
      <c r="S77" s="177" t="s">
        <v>25</v>
      </c>
      <c r="T77" s="177"/>
      <c r="U77" s="177"/>
      <c r="V77" s="177"/>
      <c r="W77" s="131"/>
      <c r="X77" s="131"/>
      <c r="Y77" s="131"/>
      <c r="Z77" s="131"/>
      <c r="AA77" s="131"/>
      <c r="AB77" s="107"/>
    </row>
    <row r="78" spans="2:33" s="101" customFormat="1" ht="6" hidden="1" customHeight="1" x14ac:dyDescent="0.3">
      <c r="B78" s="126"/>
      <c r="C78" s="126"/>
      <c r="D78" s="126"/>
      <c r="E78" s="126"/>
      <c r="F78" s="126"/>
      <c r="G78" s="126"/>
      <c r="H78" s="126"/>
      <c r="I78" s="126"/>
      <c r="J78" s="126"/>
      <c r="K78" s="126"/>
      <c r="L78" s="132"/>
      <c r="M78" s="132"/>
      <c r="N78" s="132"/>
      <c r="O78" s="132"/>
      <c r="P78" s="131"/>
      <c r="Q78" s="126"/>
      <c r="R78" s="126"/>
      <c r="S78" s="132"/>
      <c r="T78" s="132"/>
      <c r="U78" s="132"/>
      <c r="V78" s="132"/>
      <c r="W78" s="131"/>
      <c r="X78" s="131"/>
      <c r="Y78" s="131"/>
      <c r="Z78" s="131"/>
      <c r="AA78" s="131"/>
      <c r="AB78" s="107"/>
    </row>
    <row r="79" spans="2:33" s="101" customFormat="1" ht="14.4" hidden="1" x14ac:dyDescent="0.3">
      <c r="B79" s="176" t="s">
        <v>159</v>
      </c>
      <c r="C79" s="176"/>
      <c r="D79" s="176"/>
      <c r="E79" s="176"/>
      <c r="F79" s="176"/>
      <c r="G79" s="176"/>
      <c r="H79" s="176"/>
      <c r="I79" s="176"/>
      <c r="J79" s="176"/>
      <c r="K79" s="163"/>
      <c r="L79" s="163"/>
      <c r="M79" s="163"/>
      <c r="N79" s="163"/>
      <c r="O79" s="163"/>
      <c r="P79" s="163"/>
      <c r="Q79" s="163"/>
      <c r="R79" s="163"/>
      <c r="S79" s="163"/>
      <c r="T79" s="163"/>
      <c r="U79" s="163"/>
      <c r="V79" s="163"/>
      <c r="W79" s="163"/>
      <c r="X79" s="163"/>
      <c r="Y79" s="163"/>
      <c r="Z79" s="163"/>
      <c r="AA79" s="163"/>
      <c r="AB79" s="131"/>
    </row>
    <row r="80" spans="2:33" s="101" customFormat="1" ht="6" hidden="1" customHeight="1" x14ac:dyDescent="0.3">
      <c r="B80" s="126"/>
      <c r="C80" s="126"/>
      <c r="D80" s="126"/>
      <c r="E80" s="126"/>
      <c r="F80" s="126"/>
      <c r="G80" s="126"/>
      <c r="H80" s="126"/>
      <c r="I80" s="126"/>
      <c r="J80" s="126"/>
      <c r="K80" s="126"/>
      <c r="L80" s="132"/>
      <c r="M80" s="132"/>
      <c r="N80" s="132"/>
      <c r="O80" s="132"/>
      <c r="P80" s="131"/>
      <c r="Q80" s="126"/>
      <c r="R80" s="126"/>
      <c r="S80" s="132"/>
      <c r="T80" s="132"/>
      <c r="U80" s="132"/>
      <c r="V80" s="132"/>
      <c r="W80" s="131"/>
      <c r="X80" s="131"/>
      <c r="Y80" s="131"/>
      <c r="Z80" s="131"/>
      <c r="AA80" s="131"/>
      <c r="AB80" s="131"/>
    </row>
    <row r="81" spans="1:29" s="101" customFormat="1" ht="14.4" hidden="1" x14ac:dyDescent="0.3">
      <c r="B81" s="176" t="s">
        <v>160</v>
      </c>
      <c r="C81" s="176"/>
      <c r="D81" s="176"/>
      <c r="E81" s="176"/>
      <c r="F81" s="176"/>
      <c r="G81" s="176"/>
      <c r="H81" s="176"/>
      <c r="I81" s="176"/>
      <c r="J81" s="176"/>
      <c r="K81" s="176"/>
      <c r="L81" s="176"/>
      <c r="M81" s="176"/>
      <c r="N81" s="176"/>
      <c r="O81" s="176"/>
      <c r="P81" s="177" t="s">
        <v>16</v>
      </c>
      <c r="Q81" s="177"/>
      <c r="R81" s="177"/>
      <c r="S81" s="132"/>
      <c r="T81" s="95"/>
      <c r="U81" s="95"/>
      <c r="V81" s="95"/>
      <c r="W81" s="131"/>
      <c r="X81" s="131"/>
      <c r="Y81" s="131"/>
      <c r="Z81" s="131"/>
      <c r="AA81" s="131"/>
      <c r="AB81" s="131"/>
    </row>
    <row r="82" spans="1:29" s="101" customFormat="1" ht="6" hidden="1" customHeight="1" x14ac:dyDescent="0.3">
      <c r="B82" s="126"/>
      <c r="C82" s="126"/>
      <c r="D82" s="126"/>
      <c r="E82" s="126"/>
      <c r="F82" s="126"/>
      <c r="G82" s="126"/>
      <c r="H82" s="126"/>
      <c r="I82" s="126"/>
      <c r="J82" s="126"/>
      <c r="K82" s="126"/>
      <c r="L82" s="132"/>
      <c r="M82" s="132"/>
      <c r="N82" s="132"/>
      <c r="O82" s="132"/>
      <c r="P82" s="131"/>
      <c r="Q82" s="126"/>
      <c r="R82" s="126"/>
      <c r="S82" s="132"/>
      <c r="T82" s="132"/>
      <c r="U82" s="132"/>
      <c r="V82" s="132"/>
      <c r="W82" s="131"/>
      <c r="X82" s="131"/>
      <c r="Y82" s="131"/>
      <c r="Z82" s="131"/>
      <c r="AA82" s="131"/>
      <c r="AB82" s="131"/>
    </row>
    <row r="83" spans="1:29" s="101" customFormat="1" ht="14.4" hidden="1" x14ac:dyDescent="0.3">
      <c r="B83" s="126" t="s">
        <v>27</v>
      </c>
      <c r="C83" s="126"/>
      <c r="D83" s="126"/>
      <c r="E83" s="126"/>
      <c r="F83" s="126"/>
      <c r="G83" s="126"/>
      <c r="H83" s="126"/>
      <c r="I83" s="126"/>
      <c r="J83" s="126"/>
      <c r="K83" s="126"/>
      <c r="L83" s="132"/>
      <c r="M83" s="177"/>
      <c r="N83" s="177"/>
      <c r="O83" s="177"/>
      <c r="P83" s="177"/>
      <c r="Q83" s="177"/>
      <c r="R83" s="177"/>
      <c r="S83" s="177"/>
      <c r="T83" s="177"/>
      <c r="U83" s="177"/>
      <c r="V83" s="177"/>
      <c r="W83" s="177"/>
      <c r="X83" s="177"/>
      <c r="Y83" s="177"/>
      <c r="Z83" s="177"/>
      <c r="AA83" s="177"/>
      <c r="AB83" s="131"/>
    </row>
    <row r="84" spans="1:29" s="101" customFormat="1" ht="6" hidden="1" customHeight="1" x14ac:dyDescent="0.3">
      <c r="B84" s="126"/>
      <c r="C84" s="126"/>
      <c r="D84" s="126"/>
      <c r="E84" s="126"/>
      <c r="F84" s="126"/>
      <c r="G84" s="126"/>
      <c r="H84" s="126"/>
      <c r="I84" s="126"/>
      <c r="J84" s="126"/>
      <c r="K84" s="126"/>
      <c r="L84" s="132"/>
      <c r="M84" s="132"/>
      <c r="N84" s="132"/>
      <c r="O84" s="132"/>
      <c r="P84" s="132"/>
      <c r="Q84" s="132"/>
      <c r="R84" s="132"/>
      <c r="S84" s="132"/>
      <c r="T84" s="132"/>
      <c r="U84" s="132"/>
      <c r="V84" s="132"/>
      <c r="W84" s="132"/>
      <c r="X84" s="132"/>
      <c r="Y84" s="132"/>
      <c r="Z84" s="132"/>
      <c r="AA84" s="132"/>
    </row>
    <row r="85" spans="1:29" s="101" customFormat="1" ht="14.4" hidden="1" x14ac:dyDescent="0.3">
      <c r="B85" s="163"/>
      <c r="C85" s="163"/>
      <c r="D85" s="163"/>
      <c r="E85" s="163"/>
      <c r="F85" s="163"/>
      <c r="G85" s="163"/>
      <c r="H85" s="163"/>
      <c r="I85" s="163"/>
      <c r="J85" s="163"/>
      <c r="K85" s="163"/>
      <c r="L85" s="163"/>
      <c r="M85" s="163"/>
      <c r="N85" s="163"/>
      <c r="O85" s="163"/>
      <c r="P85" s="163"/>
      <c r="Q85" s="163"/>
      <c r="R85" s="163"/>
      <c r="S85" s="163"/>
      <c r="T85" s="163"/>
      <c r="U85" s="163"/>
      <c r="V85" s="163"/>
      <c r="W85" s="163"/>
      <c r="X85" s="163"/>
      <c r="Y85" s="163"/>
      <c r="Z85" s="163"/>
      <c r="AA85" s="163"/>
    </row>
    <row r="86" spans="1:29" ht="9" hidden="1" customHeight="1" x14ac:dyDescent="0.3">
      <c r="B86" s="126"/>
      <c r="C86" s="126"/>
      <c r="D86" s="126"/>
      <c r="E86" s="126"/>
      <c r="F86" s="126"/>
      <c r="G86" s="126"/>
      <c r="H86" s="126"/>
      <c r="I86" s="126"/>
      <c r="J86" s="126"/>
      <c r="K86" s="126"/>
      <c r="L86" s="132"/>
      <c r="M86" s="132"/>
      <c r="N86" s="132"/>
      <c r="O86" s="132"/>
      <c r="P86" s="101"/>
      <c r="Q86" s="126"/>
      <c r="R86" s="126"/>
      <c r="S86" s="132"/>
      <c r="T86" s="132"/>
      <c r="U86" s="132"/>
      <c r="V86" s="132"/>
      <c r="W86" s="101"/>
      <c r="X86" s="101"/>
      <c r="Y86" s="101"/>
      <c r="Z86" s="101"/>
      <c r="AA86" s="101"/>
      <c r="AB86" s="101"/>
      <c r="AC86" s="126"/>
    </row>
    <row r="87" spans="1:29" ht="15" hidden="1" customHeight="1" x14ac:dyDescent="0.3">
      <c r="B87" s="154" t="str">
        <f>IF(W73=M75,"Datos de contacto para la facturación","Datos de contacto para la facturación de la funcionalidad")</f>
        <v>Datos de contacto para la facturación</v>
      </c>
      <c r="C87" s="154"/>
      <c r="D87" s="154"/>
      <c r="E87" s="154"/>
      <c r="F87" s="154"/>
      <c r="G87" s="154"/>
      <c r="H87" s="154"/>
      <c r="I87" s="154"/>
      <c r="J87" s="154"/>
      <c r="K87" s="154"/>
      <c r="L87" s="154"/>
      <c r="M87" s="154"/>
      <c r="N87" s="154"/>
      <c r="O87" s="154"/>
      <c r="P87" s="154"/>
      <c r="Q87" s="154"/>
      <c r="R87" s="154"/>
      <c r="S87" s="154"/>
      <c r="T87" s="154"/>
      <c r="U87" s="154"/>
      <c r="V87" s="154"/>
      <c r="W87" s="154"/>
      <c r="X87" s="154"/>
      <c r="Y87" s="154"/>
      <c r="Z87" s="154"/>
      <c r="AA87" s="154"/>
    </row>
    <row r="88" spans="1:29" ht="14.25" hidden="1" customHeight="1" x14ac:dyDescent="0.3">
      <c r="A88" s="95"/>
      <c r="B88" s="161" t="s">
        <v>28</v>
      </c>
      <c r="C88" s="161"/>
      <c r="D88" s="161"/>
      <c r="E88" s="161"/>
      <c r="F88" s="161"/>
      <c r="G88" s="161"/>
      <c r="H88" s="161"/>
      <c r="I88" s="161"/>
      <c r="J88" s="161"/>
      <c r="K88" s="161"/>
      <c r="L88" s="161"/>
      <c r="M88" s="161"/>
      <c r="N88" s="161"/>
      <c r="O88" s="161"/>
      <c r="P88" s="161"/>
      <c r="Q88" s="161"/>
      <c r="R88" s="161"/>
      <c r="S88" s="161"/>
      <c r="T88" s="161"/>
      <c r="U88" s="161"/>
      <c r="V88" s="161"/>
      <c r="W88" s="161"/>
      <c r="X88" s="161"/>
      <c r="Y88" s="161"/>
      <c r="Z88" s="161"/>
      <c r="AA88" s="161"/>
    </row>
    <row r="89" spans="1:29" ht="6" hidden="1" customHeight="1" x14ac:dyDescent="0.3">
      <c r="A89" s="95"/>
      <c r="B89" s="117"/>
      <c r="C89" s="117"/>
      <c r="D89" s="117"/>
      <c r="E89" s="117"/>
      <c r="F89" s="117"/>
      <c r="G89" s="117"/>
      <c r="H89" s="117"/>
      <c r="I89" s="117"/>
      <c r="J89" s="117"/>
      <c r="K89" s="117"/>
      <c r="L89" s="117"/>
      <c r="M89" s="117"/>
      <c r="N89" s="117"/>
      <c r="O89" s="117"/>
      <c r="P89" s="117"/>
      <c r="Q89" s="117"/>
      <c r="R89" s="117"/>
      <c r="S89" s="117"/>
      <c r="T89" s="117"/>
      <c r="U89" s="117"/>
      <c r="V89" s="117"/>
      <c r="W89" s="117"/>
      <c r="X89" s="117"/>
      <c r="Y89" s="117"/>
      <c r="Z89" s="117"/>
      <c r="AA89" s="117"/>
    </row>
    <row r="90" spans="1:29" ht="15" hidden="1" customHeight="1" x14ac:dyDescent="0.3">
      <c r="A90" s="95"/>
      <c r="B90" s="157" t="s">
        <v>161</v>
      </c>
      <c r="C90" s="157"/>
      <c r="D90" s="157"/>
      <c r="E90" s="157"/>
      <c r="F90" s="157"/>
      <c r="G90" s="157"/>
      <c r="H90" s="157"/>
      <c r="I90" s="157"/>
      <c r="J90" s="157"/>
      <c r="K90" s="157"/>
      <c r="L90" s="162"/>
      <c r="M90" s="162"/>
      <c r="N90" s="162"/>
      <c r="O90" s="162"/>
      <c r="P90" s="162"/>
      <c r="Q90" s="162"/>
      <c r="R90" s="162"/>
      <c r="S90" s="162"/>
      <c r="T90" s="162"/>
      <c r="U90" s="162"/>
      <c r="V90" s="162"/>
      <c r="W90" s="162"/>
      <c r="X90" s="162"/>
      <c r="Y90" s="162"/>
      <c r="Z90" s="162"/>
      <c r="AA90" s="162"/>
    </row>
    <row r="91" spans="1:29" ht="6" hidden="1" customHeight="1" x14ac:dyDescent="0.3">
      <c r="A91" s="95"/>
      <c r="B91" s="95"/>
      <c r="C91" s="95"/>
      <c r="D91" s="95"/>
      <c r="E91" s="107"/>
      <c r="F91" s="107"/>
      <c r="G91" s="107"/>
      <c r="H91" s="107"/>
      <c r="I91" s="107"/>
      <c r="J91" s="107"/>
      <c r="K91" s="107"/>
      <c r="L91" s="107"/>
      <c r="M91" s="107"/>
      <c r="N91" s="107"/>
      <c r="O91" s="107"/>
      <c r="P91" s="107"/>
      <c r="Q91" s="95"/>
      <c r="R91" s="95"/>
      <c r="S91" s="95"/>
      <c r="T91" s="107"/>
      <c r="U91" s="107"/>
      <c r="V91" s="107"/>
      <c r="W91" s="107"/>
      <c r="X91" s="107"/>
      <c r="Y91" s="107"/>
      <c r="Z91" s="107"/>
      <c r="AA91" s="107"/>
    </row>
    <row r="92" spans="1:29" ht="15" hidden="1" customHeight="1" x14ac:dyDescent="0.3">
      <c r="A92" s="95"/>
      <c r="B92" s="157" t="s">
        <v>162</v>
      </c>
      <c r="C92" s="157"/>
      <c r="D92" s="157"/>
      <c r="E92" s="162"/>
      <c r="F92" s="162"/>
      <c r="G92" s="162"/>
      <c r="H92" s="162"/>
      <c r="I92" s="162"/>
      <c r="J92" s="162"/>
      <c r="K92" s="162"/>
      <c r="L92" s="162"/>
      <c r="M92" s="162"/>
      <c r="N92" s="162"/>
      <c r="O92" s="162"/>
      <c r="P92" s="162"/>
      <c r="Q92" s="95"/>
      <c r="R92" s="157" t="s">
        <v>163</v>
      </c>
      <c r="S92" s="157"/>
      <c r="T92" s="162"/>
      <c r="U92" s="162"/>
      <c r="V92" s="162"/>
      <c r="W92" s="162"/>
      <c r="X92" s="162"/>
      <c r="Y92" s="162"/>
      <c r="Z92" s="162"/>
      <c r="AA92" s="162"/>
    </row>
    <row r="93" spans="1:29" ht="6" hidden="1" customHeight="1" x14ac:dyDescent="0.3">
      <c r="A93" s="95"/>
      <c r="B93" s="95"/>
      <c r="C93" s="95"/>
      <c r="D93" s="95"/>
      <c r="E93" s="95"/>
      <c r="F93" s="95"/>
      <c r="G93" s="95"/>
      <c r="H93" s="95"/>
      <c r="I93" s="95"/>
      <c r="J93" s="95"/>
      <c r="K93" s="95"/>
      <c r="L93" s="95"/>
      <c r="M93" s="95"/>
      <c r="N93" s="95"/>
      <c r="O93" s="95"/>
      <c r="P93" s="95"/>
      <c r="Q93" s="95"/>
      <c r="R93" s="95"/>
      <c r="S93" s="95"/>
      <c r="T93" s="95"/>
      <c r="U93" s="95"/>
      <c r="V93" s="95"/>
      <c r="W93" s="95"/>
      <c r="X93" s="95"/>
      <c r="Y93" s="95"/>
      <c r="Z93" s="95"/>
    </row>
    <row r="94" spans="1:29" ht="15" hidden="1" customHeight="1" x14ac:dyDescent="0.3">
      <c r="A94" s="95"/>
      <c r="B94" s="157" t="s">
        <v>164</v>
      </c>
      <c r="C94" s="157"/>
      <c r="D94" s="157"/>
      <c r="E94" s="163"/>
      <c r="F94" s="163"/>
      <c r="G94" s="163"/>
      <c r="H94" s="163"/>
      <c r="I94" s="127"/>
      <c r="J94" s="176" t="s">
        <v>165</v>
      </c>
      <c r="K94" s="176"/>
      <c r="L94" s="176"/>
      <c r="M94" s="176"/>
      <c r="N94" s="176"/>
      <c r="O94" s="176"/>
      <c r="P94" s="176"/>
      <c r="Q94" s="176"/>
      <c r="R94" s="162"/>
      <c r="S94" s="162"/>
      <c r="T94" s="162"/>
      <c r="U94" s="162"/>
      <c r="V94" s="162"/>
      <c r="W94" s="162"/>
      <c r="X94" s="162"/>
      <c r="Y94" s="162"/>
      <c r="Z94" s="162"/>
      <c r="AA94" s="162"/>
      <c r="AB94" s="127"/>
    </row>
    <row r="95" spans="1:29" ht="9" hidden="1" customHeight="1" x14ac:dyDescent="0.3">
      <c r="B95" s="95"/>
      <c r="C95" s="95"/>
      <c r="D95" s="95"/>
      <c r="E95" s="95"/>
      <c r="F95" s="95"/>
      <c r="G95" s="95"/>
      <c r="H95" s="95"/>
      <c r="I95" s="95"/>
      <c r="J95" s="95"/>
      <c r="K95" s="95"/>
      <c r="L95" s="95"/>
      <c r="M95" s="95"/>
      <c r="N95" s="95"/>
      <c r="O95" s="95"/>
      <c r="P95" s="95"/>
      <c r="Q95" s="95"/>
      <c r="R95" s="95"/>
      <c r="S95" s="95"/>
      <c r="T95" s="95"/>
      <c r="U95" s="95"/>
      <c r="V95" s="95"/>
      <c r="W95" s="95"/>
      <c r="X95" s="95"/>
      <c r="Y95" s="95"/>
      <c r="Z95" s="99"/>
      <c r="AA95" s="99"/>
    </row>
    <row r="96" spans="1:29" hidden="1" x14ac:dyDescent="0.3"/>
    <row r="97" spans="1:31" ht="15" hidden="1" customHeight="1" x14ac:dyDescent="0.3">
      <c r="B97" s="154" t="str">
        <f>IF(W73=M75,"Datos de contacto para la facturación","Datos de contacto para la facturación del plan transaccional")</f>
        <v>Datos de contacto para la facturación</v>
      </c>
      <c r="C97" s="154"/>
      <c r="D97" s="154"/>
      <c r="E97" s="154"/>
      <c r="F97" s="154"/>
      <c r="G97" s="154"/>
      <c r="H97" s="154"/>
      <c r="I97" s="154"/>
      <c r="J97" s="154"/>
      <c r="K97" s="154"/>
      <c r="L97" s="154"/>
      <c r="M97" s="154"/>
      <c r="N97" s="154"/>
      <c r="O97" s="154"/>
      <c r="P97" s="154"/>
      <c r="Q97" s="154"/>
      <c r="R97" s="154"/>
      <c r="S97" s="154"/>
      <c r="T97" s="154"/>
      <c r="U97" s="154"/>
      <c r="V97" s="154"/>
      <c r="W97" s="154"/>
      <c r="X97" s="154"/>
      <c r="Y97" s="154"/>
      <c r="Z97" s="154"/>
      <c r="AA97" s="154"/>
    </row>
    <row r="98" spans="1:31" ht="14.25" customHeight="1" x14ac:dyDescent="0.3">
      <c r="A98" s="95"/>
      <c r="B98" s="161" t="s">
        <v>28</v>
      </c>
      <c r="C98" s="161"/>
      <c r="D98" s="161"/>
      <c r="E98" s="161"/>
      <c r="F98" s="161"/>
      <c r="G98" s="161"/>
      <c r="H98" s="161"/>
      <c r="I98" s="161"/>
      <c r="J98" s="161"/>
      <c r="K98" s="161"/>
      <c r="L98" s="161"/>
      <c r="M98" s="161"/>
      <c r="N98" s="161"/>
      <c r="O98" s="161"/>
      <c r="P98" s="161"/>
      <c r="Q98" s="161"/>
      <c r="R98" s="161"/>
      <c r="S98" s="161"/>
      <c r="T98" s="161"/>
      <c r="U98" s="161"/>
      <c r="V98" s="161"/>
      <c r="W98" s="161"/>
      <c r="X98" s="161"/>
      <c r="Y98" s="161"/>
      <c r="Z98" s="161"/>
      <c r="AA98" s="161"/>
    </row>
    <row r="99" spans="1:31" ht="6" customHeight="1" thickBot="1" x14ac:dyDescent="0.35">
      <c r="A99" s="95"/>
      <c r="B99" s="117"/>
      <c r="C99" s="117"/>
      <c r="D99" s="117"/>
      <c r="E99" s="117"/>
      <c r="F99" s="117"/>
      <c r="G99" s="117"/>
      <c r="H99" s="117"/>
      <c r="I99" s="117"/>
      <c r="J99" s="117"/>
      <c r="K99" s="117"/>
      <c r="L99" s="117"/>
      <c r="M99" s="117"/>
      <c r="N99" s="117"/>
      <c r="O99" s="117"/>
      <c r="P99" s="117"/>
      <c r="Q99" s="117"/>
      <c r="R99" s="117"/>
      <c r="S99" s="117"/>
      <c r="T99" s="117"/>
      <c r="U99" s="117"/>
      <c r="V99" s="117"/>
      <c r="W99" s="117"/>
      <c r="X99" s="117"/>
      <c r="Y99" s="117"/>
      <c r="Z99" s="117"/>
      <c r="AA99" s="117"/>
      <c r="AB99" s="95"/>
      <c r="AC99" s="107"/>
      <c r="AD99" s="107"/>
      <c r="AE99" s="107"/>
    </row>
    <row r="100" spans="1:31" ht="15" customHeight="1" x14ac:dyDescent="0.3">
      <c r="A100" s="95"/>
      <c r="B100" s="164" t="s">
        <v>48</v>
      </c>
      <c r="C100" s="165"/>
      <c r="D100" s="165"/>
      <c r="E100" s="165"/>
      <c r="F100" s="165"/>
      <c r="G100" s="165"/>
      <c r="H100" s="165"/>
      <c r="I100" s="165"/>
      <c r="J100" s="165"/>
      <c r="K100" s="165"/>
      <c r="L100" s="165"/>
      <c r="M100" s="165"/>
      <c r="N100" s="165"/>
      <c r="O100" s="165"/>
      <c r="P100" s="165"/>
      <c r="Q100" s="165"/>
      <c r="R100" s="165"/>
      <c r="S100" s="165"/>
      <c r="T100" s="165"/>
      <c r="U100" s="165"/>
      <c r="V100" s="165"/>
      <c r="W100" s="165"/>
      <c r="X100" s="165"/>
      <c r="Y100" s="165"/>
      <c r="Z100" s="165"/>
      <c r="AA100" s="165"/>
      <c r="AB100" s="165"/>
      <c r="AC100" s="166"/>
      <c r="AD100" s="103"/>
    </row>
    <row r="101" spans="1:31" ht="6" customHeight="1" x14ac:dyDescent="0.3">
      <c r="A101" s="95"/>
      <c r="B101" s="167"/>
      <c r="C101" s="168"/>
      <c r="D101" s="168"/>
      <c r="E101" s="168"/>
      <c r="F101" s="168"/>
      <c r="G101" s="168"/>
      <c r="H101" s="168"/>
      <c r="I101" s="168"/>
      <c r="J101" s="168"/>
      <c r="K101" s="168"/>
      <c r="L101" s="168"/>
      <c r="M101" s="168"/>
      <c r="N101" s="168"/>
      <c r="O101" s="168"/>
      <c r="P101" s="168"/>
      <c r="Q101" s="168"/>
      <c r="R101" s="168"/>
      <c r="S101" s="168"/>
      <c r="T101" s="168"/>
      <c r="U101" s="168"/>
      <c r="V101" s="168"/>
      <c r="W101" s="168"/>
      <c r="X101" s="168"/>
      <c r="Y101" s="168"/>
      <c r="Z101" s="168"/>
      <c r="AA101" s="168"/>
      <c r="AB101" s="168"/>
      <c r="AC101" s="169"/>
      <c r="AD101" s="103"/>
    </row>
    <row r="102" spans="1:31" ht="15" hidden="1" customHeight="1" x14ac:dyDescent="0.3">
      <c r="A102" s="95"/>
      <c r="B102" s="167"/>
      <c r="C102" s="168"/>
      <c r="D102" s="168"/>
      <c r="E102" s="168"/>
      <c r="F102" s="168"/>
      <c r="G102" s="168"/>
      <c r="H102" s="168"/>
      <c r="I102" s="168"/>
      <c r="J102" s="168"/>
      <c r="K102" s="168"/>
      <c r="L102" s="168"/>
      <c r="M102" s="168"/>
      <c r="N102" s="168"/>
      <c r="O102" s="168"/>
      <c r="P102" s="168"/>
      <c r="Q102" s="168"/>
      <c r="R102" s="168"/>
      <c r="S102" s="168"/>
      <c r="T102" s="168"/>
      <c r="U102" s="168"/>
      <c r="V102" s="168"/>
      <c r="W102" s="168"/>
      <c r="X102" s="168"/>
      <c r="Y102" s="168"/>
      <c r="Z102" s="168"/>
      <c r="AA102" s="168"/>
      <c r="AB102" s="168"/>
      <c r="AC102" s="169"/>
      <c r="AD102" s="103"/>
    </row>
    <row r="103" spans="1:31" ht="6" hidden="1" customHeight="1" x14ac:dyDescent="0.3">
      <c r="A103" s="95"/>
      <c r="B103" s="167"/>
      <c r="C103" s="168"/>
      <c r="D103" s="168"/>
      <c r="E103" s="168"/>
      <c r="F103" s="168"/>
      <c r="G103" s="168"/>
      <c r="H103" s="168"/>
      <c r="I103" s="168"/>
      <c r="J103" s="168"/>
      <c r="K103" s="168"/>
      <c r="L103" s="168"/>
      <c r="M103" s="168"/>
      <c r="N103" s="168"/>
      <c r="O103" s="168"/>
      <c r="P103" s="168"/>
      <c r="Q103" s="168"/>
      <c r="R103" s="168"/>
      <c r="S103" s="168"/>
      <c r="T103" s="168"/>
      <c r="U103" s="168"/>
      <c r="V103" s="168"/>
      <c r="W103" s="168"/>
      <c r="X103" s="168"/>
      <c r="Y103" s="168"/>
      <c r="Z103" s="168"/>
      <c r="AA103" s="168"/>
      <c r="AB103" s="168"/>
      <c r="AC103" s="169"/>
      <c r="AD103" s="103"/>
    </row>
    <row r="104" spans="1:31" ht="15" hidden="1" customHeight="1" x14ac:dyDescent="0.3">
      <c r="A104" s="95"/>
      <c r="B104" s="167"/>
      <c r="C104" s="168"/>
      <c r="D104" s="168"/>
      <c r="E104" s="168"/>
      <c r="F104" s="168"/>
      <c r="G104" s="168"/>
      <c r="H104" s="168"/>
      <c r="I104" s="168"/>
      <c r="J104" s="168"/>
      <c r="K104" s="168"/>
      <c r="L104" s="168"/>
      <c r="M104" s="168"/>
      <c r="N104" s="168"/>
      <c r="O104" s="168"/>
      <c r="P104" s="168"/>
      <c r="Q104" s="168"/>
      <c r="R104" s="168"/>
      <c r="S104" s="168"/>
      <c r="T104" s="168"/>
      <c r="U104" s="168"/>
      <c r="V104" s="168"/>
      <c r="W104" s="168"/>
      <c r="X104" s="168"/>
      <c r="Y104" s="168"/>
      <c r="Z104" s="168"/>
      <c r="AA104" s="168"/>
      <c r="AB104" s="168"/>
      <c r="AC104" s="169"/>
      <c r="AD104" s="103"/>
    </row>
    <row r="105" spans="1:31" ht="9" hidden="1" customHeight="1" x14ac:dyDescent="0.3">
      <c r="B105" s="167"/>
      <c r="C105" s="168"/>
      <c r="D105" s="168"/>
      <c r="E105" s="168"/>
      <c r="F105" s="168"/>
      <c r="G105" s="168"/>
      <c r="H105" s="168"/>
      <c r="I105" s="168"/>
      <c r="J105" s="168"/>
      <c r="K105" s="168"/>
      <c r="L105" s="168"/>
      <c r="M105" s="168"/>
      <c r="N105" s="168"/>
      <c r="O105" s="168"/>
      <c r="P105" s="168"/>
      <c r="Q105" s="168"/>
      <c r="R105" s="168"/>
      <c r="S105" s="168"/>
      <c r="T105" s="168"/>
      <c r="U105" s="168"/>
      <c r="V105" s="168"/>
      <c r="W105" s="168"/>
      <c r="X105" s="168"/>
      <c r="Y105" s="168"/>
      <c r="Z105" s="168"/>
      <c r="AA105" s="168"/>
      <c r="AB105" s="168"/>
      <c r="AC105" s="169"/>
      <c r="AD105" s="103"/>
    </row>
    <row r="106" spans="1:31" ht="13.8" hidden="1" customHeight="1" x14ac:dyDescent="0.3">
      <c r="B106" s="167"/>
      <c r="C106" s="168"/>
      <c r="D106" s="168"/>
      <c r="E106" s="168"/>
      <c r="F106" s="168"/>
      <c r="G106" s="168"/>
      <c r="H106" s="168"/>
      <c r="I106" s="168"/>
      <c r="J106" s="168"/>
      <c r="K106" s="168"/>
      <c r="L106" s="168"/>
      <c r="M106" s="168"/>
      <c r="N106" s="168"/>
      <c r="O106" s="168"/>
      <c r="P106" s="168"/>
      <c r="Q106" s="168"/>
      <c r="R106" s="168"/>
      <c r="S106" s="168"/>
      <c r="T106" s="168"/>
      <c r="U106" s="168"/>
      <c r="V106" s="168"/>
      <c r="W106" s="168"/>
      <c r="X106" s="168"/>
      <c r="Y106" s="168"/>
      <c r="Z106" s="168"/>
      <c r="AA106" s="168"/>
      <c r="AB106" s="168"/>
      <c r="AC106" s="169"/>
      <c r="AD106" s="103"/>
    </row>
    <row r="107" spans="1:31" ht="13.8" hidden="1" customHeight="1" x14ac:dyDescent="0.3">
      <c r="B107" s="167"/>
      <c r="C107" s="168"/>
      <c r="D107" s="168"/>
      <c r="E107" s="168"/>
      <c r="F107" s="168"/>
      <c r="G107" s="168"/>
      <c r="H107" s="168"/>
      <c r="I107" s="168"/>
      <c r="J107" s="168"/>
      <c r="K107" s="168"/>
      <c r="L107" s="168"/>
      <c r="M107" s="168"/>
      <c r="N107" s="168"/>
      <c r="O107" s="168"/>
      <c r="P107" s="168"/>
      <c r="Q107" s="168"/>
      <c r="R107" s="168"/>
      <c r="S107" s="168"/>
      <c r="T107" s="168"/>
      <c r="U107" s="168"/>
      <c r="V107" s="168"/>
      <c r="W107" s="168"/>
      <c r="X107" s="168"/>
      <c r="Y107" s="168"/>
      <c r="Z107" s="168"/>
      <c r="AA107" s="168"/>
      <c r="AB107" s="168"/>
      <c r="AC107" s="169"/>
      <c r="AD107" s="103"/>
    </row>
    <row r="108" spans="1:31" ht="98.4" hidden="1" customHeight="1" x14ac:dyDescent="0.3">
      <c r="B108" s="167"/>
      <c r="C108" s="168"/>
      <c r="D108" s="168"/>
      <c r="E108" s="168"/>
      <c r="F108" s="168"/>
      <c r="G108" s="168"/>
      <c r="H108" s="168"/>
      <c r="I108" s="168"/>
      <c r="J108" s="168"/>
      <c r="K108" s="168"/>
      <c r="L108" s="168"/>
      <c r="M108" s="168"/>
      <c r="N108" s="168"/>
      <c r="O108" s="168"/>
      <c r="P108" s="168"/>
      <c r="Q108" s="168"/>
      <c r="R108" s="168"/>
      <c r="S108" s="168"/>
      <c r="T108" s="168"/>
      <c r="U108" s="168"/>
      <c r="V108" s="168"/>
      <c r="W108" s="168"/>
      <c r="X108" s="168"/>
      <c r="Y108" s="168"/>
      <c r="Z108" s="168"/>
      <c r="AA108" s="168"/>
      <c r="AB108" s="168"/>
      <c r="AC108" s="169"/>
      <c r="AD108" s="103"/>
    </row>
    <row r="109" spans="1:31" ht="14.4" customHeight="1" x14ac:dyDescent="0.3">
      <c r="B109" s="167"/>
      <c r="C109" s="168"/>
      <c r="D109" s="168"/>
      <c r="E109" s="168"/>
      <c r="F109" s="168"/>
      <c r="G109" s="168"/>
      <c r="H109" s="168"/>
      <c r="I109" s="168"/>
      <c r="J109" s="168"/>
      <c r="K109" s="168"/>
      <c r="L109" s="168"/>
      <c r="M109" s="168"/>
      <c r="N109" s="168"/>
      <c r="O109" s="168"/>
      <c r="P109" s="168"/>
      <c r="Q109" s="168"/>
      <c r="R109" s="168"/>
      <c r="S109" s="168"/>
      <c r="T109" s="168"/>
      <c r="U109" s="168"/>
      <c r="V109" s="168"/>
      <c r="W109" s="168"/>
      <c r="X109" s="168"/>
      <c r="Y109" s="168"/>
      <c r="Z109" s="168"/>
      <c r="AA109" s="168"/>
      <c r="AB109" s="168"/>
      <c r="AC109" s="169"/>
      <c r="AD109" s="103"/>
    </row>
    <row r="110" spans="1:31" x14ac:dyDescent="0.3">
      <c r="B110" s="167"/>
      <c r="C110" s="168"/>
      <c r="D110" s="168"/>
      <c r="E110" s="168"/>
      <c r="F110" s="168"/>
      <c r="G110" s="168"/>
      <c r="H110" s="168"/>
      <c r="I110" s="168"/>
      <c r="J110" s="168"/>
      <c r="K110" s="168"/>
      <c r="L110" s="168"/>
      <c r="M110" s="168"/>
      <c r="N110" s="168"/>
      <c r="O110" s="168"/>
      <c r="P110" s="168"/>
      <c r="Q110" s="168"/>
      <c r="R110" s="168"/>
      <c r="S110" s="168"/>
      <c r="T110" s="168"/>
      <c r="U110" s="168"/>
      <c r="V110" s="168"/>
      <c r="W110" s="168"/>
      <c r="X110" s="168"/>
      <c r="Y110" s="168"/>
      <c r="Z110" s="168"/>
      <c r="AA110" s="168"/>
      <c r="AB110" s="168"/>
      <c r="AC110" s="169"/>
      <c r="AD110" s="103"/>
    </row>
    <row r="111" spans="1:31" x14ac:dyDescent="0.3">
      <c r="B111" s="167"/>
      <c r="C111" s="168"/>
      <c r="D111" s="168"/>
      <c r="E111" s="168"/>
      <c r="F111" s="168"/>
      <c r="G111" s="168"/>
      <c r="H111" s="168"/>
      <c r="I111" s="168"/>
      <c r="J111" s="168"/>
      <c r="K111" s="168"/>
      <c r="L111" s="168"/>
      <c r="M111" s="168"/>
      <c r="N111" s="168"/>
      <c r="O111" s="168"/>
      <c r="P111" s="168"/>
      <c r="Q111" s="168"/>
      <c r="R111" s="168"/>
      <c r="S111" s="168"/>
      <c r="T111" s="168"/>
      <c r="U111" s="168"/>
      <c r="V111" s="168"/>
      <c r="W111" s="168"/>
      <c r="X111" s="168"/>
      <c r="Y111" s="168"/>
      <c r="Z111" s="168"/>
      <c r="AA111" s="168"/>
      <c r="AB111" s="168"/>
      <c r="AC111" s="169"/>
    </row>
    <row r="112" spans="1:31" x14ac:dyDescent="0.3">
      <c r="B112" s="167"/>
      <c r="C112" s="168"/>
      <c r="D112" s="168"/>
      <c r="E112" s="168"/>
      <c r="F112" s="168"/>
      <c r="G112" s="168"/>
      <c r="H112" s="168"/>
      <c r="I112" s="168"/>
      <c r="J112" s="168"/>
      <c r="K112" s="168"/>
      <c r="L112" s="168"/>
      <c r="M112" s="168"/>
      <c r="N112" s="168"/>
      <c r="O112" s="168"/>
      <c r="P112" s="168"/>
      <c r="Q112" s="168"/>
      <c r="R112" s="168"/>
      <c r="S112" s="168"/>
      <c r="T112" s="168"/>
      <c r="U112" s="168"/>
      <c r="V112" s="168"/>
      <c r="W112" s="168"/>
      <c r="X112" s="168"/>
      <c r="Y112" s="168"/>
      <c r="Z112" s="168"/>
      <c r="AA112" s="168"/>
      <c r="AB112" s="168"/>
      <c r="AC112" s="169"/>
    </row>
    <row r="113" spans="2:29" x14ac:dyDescent="0.3">
      <c r="B113" s="167"/>
      <c r="C113" s="168"/>
      <c r="D113" s="168"/>
      <c r="E113" s="168"/>
      <c r="F113" s="168"/>
      <c r="G113" s="168"/>
      <c r="H113" s="168"/>
      <c r="I113" s="168"/>
      <c r="J113" s="168"/>
      <c r="K113" s="168"/>
      <c r="L113" s="168"/>
      <c r="M113" s="168"/>
      <c r="N113" s="168"/>
      <c r="O113" s="168"/>
      <c r="P113" s="168"/>
      <c r="Q113" s="168"/>
      <c r="R113" s="168"/>
      <c r="S113" s="168"/>
      <c r="T113" s="168"/>
      <c r="U113" s="168"/>
      <c r="V113" s="168"/>
      <c r="W113" s="168"/>
      <c r="X113" s="168"/>
      <c r="Y113" s="168"/>
      <c r="Z113" s="168"/>
      <c r="AA113" s="168"/>
      <c r="AB113" s="168"/>
      <c r="AC113" s="169"/>
    </row>
    <row r="114" spans="2:29" ht="14.4" thickBot="1" x14ac:dyDescent="0.35">
      <c r="B114" s="170"/>
      <c r="C114" s="171"/>
      <c r="D114" s="171"/>
      <c r="E114" s="171"/>
      <c r="F114" s="171"/>
      <c r="G114" s="171"/>
      <c r="H114" s="171"/>
      <c r="I114" s="171"/>
      <c r="J114" s="171"/>
      <c r="K114" s="171"/>
      <c r="L114" s="171"/>
      <c r="M114" s="171"/>
      <c r="N114" s="171"/>
      <c r="O114" s="171"/>
      <c r="P114" s="171"/>
      <c r="Q114" s="171"/>
      <c r="R114" s="171"/>
      <c r="S114" s="171"/>
      <c r="T114" s="171"/>
      <c r="U114" s="171"/>
      <c r="V114" s="171"/>
      <c r="W114" s="171"/>
      <c r="X114" s="171"/>
      <c r="Y114" s="171"/>
      <c r="Z114" s="171"/>
      <c r="AA114" s="171"/>
      <c r="AB114" s="171"/>
      <c r="AC114" s="172"/>
    </row>
  </sheetData>
  <sheetProtection sheet="1" objects="1" scenarios="1" deleteColumns="0" deleteRows="0"/>
  <dataConsolidate/>
  <customSheetViews>
    <customSheetView guid="{81F0E444-1FDF-4C2C-B330-A1D7F689AA54}" showGridLines="0" showRowCol="0" fitToPage="1">
      <selection activeCell="AA107" sqref="AA107"/>
      <pageMargins left="0.70866141732283472" right="0.70866141732283472" top="0.74803149606299213" bottom="0.74803149606299213" header="0.31496062992125984" footer="0.31496062992125984"/>
      <printOptions horizontalCentered="1"/>
      <pageSetup scale="67" orientation="portrait" r:id="rId1"/>
    </customSheetView>
  </customSheetViews>
  <mergeCells count="132">
    <mergeCell ref="M75:P75"/>
    <mergeCell ref="B51:F51"/>
    <mergeCell ref="B55:E55"/>
    <mergeCell ref="S77:V77"/>
    <mergeCell ref="AC73:AG73"/>
    <mergeCell ref="R75:V75"/>
    <mergeCell ref="M67:S67"/>
    <mergeCell ref="M69:S69"/>
    <mergeCell ref="U69:X69"/>
    <mergeCell ref="J77:K77"/>
    <mergeCell ref="I75:L75"/>
    <mergeCell ref="U67:X67"/>
    <mergeCell ref="J94:Q94"/>
    <mergeCell ref="B77:H77"/>
    <mergeCell ref="L90:AA90"/>
    <mergeCell ref="M83:AA83"/>
    <mergeCell ref="B81:O81"/>
    <mergeCell ref="P81:R81"/>
    <mergeCell ref="B88:AA88"/>
    <mergeCell ref="B87:AA87"/>
    <mergeCell ref="T92:AA92"/>
    <mergeCell ref="B92:D92"/>
    <mergeCell ref="E92:P92"/>
    <mergeCell ref="R34:X34"/>
    <mergeCell ref="B18:AA18"/>
    <mergeCell ref="B19:AA19"/>
    <mergeCell ref="G20:I20"/>
    <mergeCell ref="B21:AA21"/>
    <mergeCell ref="B22:AA22"/>
    <mergeCell ref="B34:C34"/>
    <mergeCell ref="O25:P25"/>
    <mergeCell ref="B38:F38"/>
    <mergeCell ref="R38:X38"/>
    <mergeCell ref="K25:L25"/>
    <mergeCell ref="M25:N25"/>
    <mergeCell ref="I34:O34"/>
    <mergeCell ref="Y25:Z25"/>
    <mergeCell ref="U23:V23"/>
    <mergeCell ref="I38:O38"/>
    <mergeCell ref="R23:T23"/>
    <mergeCell ref="Y23:Z23"/>
    <mergeCell ref="R25:T25"/>
    <mergeCell ref="U25:V25"/>
    <mergeCell ref="R27:T27"/>
    <mergeCell ref="U27:V27"/>
    <mergeCell ref="D8:I8"/>
    <mergeCell ref="K8:R8"/>
    <mergeCell ref="S8:AA8"/>
    <mergeCell ref="S9:AA9"/>
    <mergeCell ref="B11:J11"/>
    <mergeCell ref="K11:AA11"/>
    <mergeCell ref="K27:L27"/>
    <mergeCell ref="M27:N27"/>
    <mergeCell ref="O27:P27"/>
    <mergeCell ref="B14:N14"/>
    <mergeCell ref="O14:T14"/>
    <mergeCell ref="V14:AA14"/>
    <mergeCell ref="B10:J10"/>
    <mergeCell ref="K10:AA10"/>
    <mergeCell ref="W27:X27"/>
    <mergeCell ref="B1:AA1"/>
    <mergeCell ref="G25:H25"/>
    <mergeCell ref="B72:AA72"/>
    <mergeCell ref="B73:I73"/>
    <mergeCell ref="J73:O73"/>
    <mergeCell ref="S73:V73"/>
    <mergeCell ref="W73:AA73"/>
    <mergeCell ref="B25:E25"/>
    <mergeCell ref="B27:E27"/>
    <mergeCell ref="Y27:Z27"/>
    <mergeCell ref="W23:X23"/>
    <mergeCell ref="W25:X25"/>
    <mergeCell ref="B23:E23"/>
    <mergeCell ref="B29:AA29"/>
    <mergeCell ref="B30:AA30"/>
    <mergeCell ref="I23:J23"/>
    <mergeCell ref="I25:J25"/>
    <mergeCell ref="I27:J27"/>
    <mergeCell ref="K23:L23"/>
    <mergeCell ref="M23:N23"/>
    <mergeCell ref="O23:P23"/>
    <mergeCell ref="B2:AA2"/>
    <mergeCell ref="B4:AA4"/>
    <mergeCell ref="B8:C8"/>
    <mergeCell ref="B98:AA98"/>
    <mergeCell ref="R94:AA94"/>
    <mergeCell ref="R92:S92"/>
    <mergeCell ref="B94:D94"/>
    <mergeCell ref="E94:H94"/>
    <mergeCell ref="B100:AC100"/>
    <mergeCell ref="B101:AC114"/>
    <mergeCell ref="B97:AA97"/>
    <mergeCell ref="B40:F40"/>
    <mergeCell ref="I40:O40"/>
    <mergeCell ref="R40:X40"/>
    <mergeCell ref="B49:D49"/>
    <mergeCell ref="M48:S48"/>
    <mergeCell ref="B48:C48"/>
    <mergeCell ref="B47:AA47"/>
    <mergeCell ref="B41:F43"/>
    <mergeCell ref="I42:O42"/>
    <mergeCell ref="I43:O43"/>
    <mergeCell ref="B90:K90"/>
    <mergeCell ref="B79:J79"/>
    <mergeCell ref="K79:AA79"/>
    <mergeCell ref="L77:O77"/>
    <mergeCell ref="Q77:R77"/>
    <mergeCell ref="B85:AA85"/>
    <mergeCell ref="B6:E6"/>
    <mergeCell ref="G6:AA6"/>
    <mergeCell ref="B75:E75"/>
    <mergeCell ref="M63:S63"/>
    <mergeCell ref="M65:S65"/>
    <mergeCell ref="U65:X65"/>
    <mergeCell ref="B32:D32"/>
    <mergeCell ref="B13:AA13"/>
    <mergeCell ref="M51:S51"/>
    <mergeCell ref="M62:S62"/>
    <mergeCell ref="B71:AA71"/>
    <mergeCell ref="B59:AA59"/>
    <mergeCell ref="U51:X51"/>
    <mergeCell ref="B60:AA60"/>
    <mergeCell ref="U63:X63"/>
    <mergeCell ref="B62:C62"/>
    <mergeCell ref="J62:L62"/>
    <mergeCell ref="U62:X62"/>
    <mergeCell ref="B36:F36"/>
    <mergeCell ref="I36:O36"/>
    <mergeCell ref="R36:X36"/>
    <mergeCell ref="U48:X48"/>
    <mergeCell ref="J48:L48"/>
    <mergeCell ref="B46:AA46"/>
  </mergeCells>
  <conditionalFormatting sqref="K51:AA51">
    <cfRule type="expression" dxfId="202" priority="82" stopIfTrue="1">
      <formula>$H$51="Oculto"</formula>
    </cfRule>
  </conditionalFormatting>
  <conditionalFormatting sqref="K63:AA63">
    <cfRule type="expression" dxfId="201" priority="80" stopIfTrue="1">
      <formula>$H$63="Oculto"</formula>
    </cfRule>
  </conditionalFormatting>
  <conditionalFormatting sqref="K65:AA65">
    <cfRule type="expression" dxfId="200" priority="79" stopIfTrue="1">
      <formula>$H$65="Oculto"</formula>
    </cfRule>
  </conditionalFormatting>
  <conditionalFormatting sqref="K67:AA67">
    <cfRule type="expression" dxfId="199" priority="78" stopIfTrue="1">
      <formula>$H$67="Oculto"</formula>
    </cfRule>
  </conditionalFormatting>
  <conditionalFormatting sqref="K69:AA69">
    <cfRule type="expression" dxfId="198" priority="77" stopIfTrue="1">
      <formula>$H$69="Oculto"</formula>
    </cfRule>
  </conditionalFormatting>
  <conditionalFormatting sqref="M63:S63 I36:O36 I38:O38 I40:O40 M51:S51 M65:S65 M67:S67 M69:S69 I42:O43">
    <cfRule type="expression" dxfId="197" priority="151" stopIfTrue="1">
      <formula>AND(COUNTIF($I$36:$O$36, I36)+COUNTIF($I$38:$O$38, I36)+COUNTIF($I$40:$O$40, I36)+COUNTIF($M$49:$S$49, I36)+COUNTIF($M$51:$S$51, I36)+COUNTIF(#REF!, I36)+COUNTIF($M$63:$S$63, I36)+COUNTIF($M$65:$S$65, I36)+COUNTIF($M$67:$S$67, I36)+COUNTIF($M$69:$S$69, I36)&gt;1,NOT(ISBLANK(I36)))</formula>
    </cfRule>
  </conditionalFormatting>
  <conditionalFormatting sqref="B83:AA85">
    <cfRule type="expression" dxfId="196" priority="60" stopIfTrue="1">
      <formula>$P$81&lt;&gt;"SI"</formula>
    </cfRule>
  </conditionalFormatting>
  <conditionalFormatting sqref="B97:AA99">
    <cfRule type="expression" dxfId="195" priority="58" stopIfTrue="1">
      <formula>$W$73="- seleccione -"</formula>
    </cfRule>
  </conditionalFormatting>
  <conditionalFormatting sqref="B71:AA74 B76:AA95 B75 F75:P75">
    <cfRule type="expression" dxfId="194" priority="52" stopIfTrue="1">
      <formula>$DH$1="PSE Hosting Portales"</formula>
    </cfRule>
  </conditionalFormatting>
  <conditionalFormatting sqref="AC73:AG73">
    <cfRule type="expression" dxfId="193" priority="49" stopIfTrue="1">
      <formula>$W$73&lt;&gt;"Distribuidor de PSE Hosting"</formula>
    </cfRule>
  </conditionalFormatting>
  <conditionalFormatting sqref="R75:V75">
    <cfRule type="expression" dxfId="192" priority="48" stopIfTrue="1">
      <formula>$M$75&lt;&gt;"Distribuidor de PSE Hosting"</formula>
    </cfRule>
  </conditionalFormatting>
  <conditionalFormatting sqref="B97:AA99">
    <cfRule type="expression" dxfId="191" priority="142" stopIfTrue="1">
      <formula>$W$73=$M$75</formula>
    </cfRule>
  </conditionalFormatting>
  <conditionalFormatting sqref="B59:AA69">
    <cfRule type="expression" dxfId="190" priority="39" stopIfTrue="1">
      <formula>$F$55="NO"</formula>
    </cfRule>
  </conditionalFormatting>
  <conditionalFormatting sqref="R34:X40">
    <cfRule type="expression" dxfId="189" priority="154" stopIfTrue="1">
      <formula>$E$32="NO"</formula>
    </cfRule>
  </conditionalFormatting>
  <conditionalFormatting sqref="B25:AA25 I23:AA23 B27:F27">
    <cfRule type="expression" dxfId="188" priority="9" stopIfTrue="1">
      <formula>$F$23="NO"</formula>
    </cfRule>
  </conditionalFormatting>
  <conditionalFormatting sqref="G27:H27">
    <cfRule type="expression" priority="6" stopIfTrue="1">
      <formula>$F$27="SI"</formula>
    </cfRule>
    <cfRule type="expression" priority="7" stopIfTrue="1">
      <formula>$F$25="SI"</formula>
    </cfRule>
    <cfRule type="expression" dxfId="187" priority="10" stopIfTrue="1">
      <formula>$F$23="SI"</formula>
    </cfRule>
  </conditionalFormatting>
  <conditionalFormatting sqref="G27:AA27">
    <cfRule type="expression" dxfId="186" priority="11" stopIfTrue="1">
      <formula>$F$23="NO"</formula>
    </cfRule>
  </conditionalFormatting>
  <conditionalFormatting sqref="I27:AA27">
    <cfRule type="expression" priority="3" stopIfTrue="1">
      <formula>$F$27="SI"</formula>
    </cfRule>
    <cfRule type="expression" dxfId="185" priority="5" stopIfTrue="1">
      <formula>$F$25="NO"</formula>
    </cfRule>
  </conditionalFormatting>
  <conditionalFormatting sqref="F27">
    <cfRule type="expression" dxfId="184" priority="2" stopIfTrue="1">
      <formula>$F$25="SI"</formula>
    </cfRule>
  </conditionalFormatting>
  <conditionalFormatting sqref="F25">
    <cfRule type="expression" dxfId="183" priority="1" stopIfTrue="1">
      <formula>$F$27="SI"</formula>
    </cfRule>
  </conditionalFormatting>
  <dataValidations xWindow="318" yWindow="465" count="35">
    <dataValidation type="list" allowBlank="1" showInputMessage="1" showErrorMessage="1" prompt="Identifique el orden que tendrán los campos en el formulario durante el proceso de pago." sqref="AA36 AA38 AA40 AA69 AA51 AA63 AA65 AA67" xr:uid="{C77FD05B-1F20-4D36-AB22-D0831013B846}">
      <formula1>_xlfn.ANCHORARRAY($DK$6)</formula1>
    </dataValidation>
    <dataValidation allowBlank="1" showInputMessage="1" showErrorMessage="1" prompt="De acuerdo con la actividad económica de la empresa indique en que segmento se encuentra de la lista. " sqref="B11:J12" xr:uid="{E54D44D2-3ADD-4266-A197-5F536B957224}"/>
    <dataValidation allowBlank="1" showInputMessage="1" showErrorMessage="1" prompt="Cobro que se realiza de manera mensual. Su valor dependerá del rango de transacciones consumidas en el mes." sqref="B75" xr:uid="{190F78B9-5BDA-4FFF-9174-5FDA447023B8}"/>
    <dataValidation allowBlank="1" showInputMessage="1" showErrorMessage="1" prompt="Indique el nombre personalizado que tendrá este campo y que visualizará el usuario final durante el pago." sqref="I42:O45 M51:S51 M63:S63 M65:S65 M67:S67 M69:S69" xr:uid="{26CBE4ED-ED0A-4199-BAD3-8702965B1DC1}"/>
    <dataValidation type="list" allowBlank="1" showInputMessage="1" showErrorMessage="1" prompt="¿Es obligatorio que el usuario final diligencie este campo?" sqref="K69 K51 K63 K67 K65" xr:uid="{977B8E81-4BC2-49E3-AE76-32647F973D6A}">
      <formula1>"SI, NO"</formula1>
    </dataValidation>
    <dataValidation allowBlank="1" showInputMessage="1" showErrorMessage="1" prompt="Campo en el cual el usuario pagador relaciona su correo electronico." sqref="B51:F51" xr:uid="{C934C35A-041B-4857-BAF9-A777BCB8907F}"/>
    <dataValidation type="list" allowBlank="1" showInputMessage="1" showErrorMessage="1" prompt="Campo obligatorio, por tal motivo si no utiliza este campo márquelo como “Oculto”." sqref="H51 H69 H63 H67 H65" xr:uid="{6EB7BCD2-8FAF-4DA7-9A9F-5D1A7051E665}">
      <formula1>"Visible, Oculto"</formula1>
    </dataValidation>
    <dataValidation allowBlank="1" showInputMessage="1" showErrorMessage="1" prompt="Podrá solicitar incluir una descripción de ayuda a cada campo para que sus clientes la visualicen al momento de la captura de los datos." sqref="R36:X36 R38:X38 R40:X40 U69 U51 U63 U65 U67" xr:uid="{44D9D5D4-DEF8-4AD9-AE12-B35D9BC14BCF}"/>
    <dataValidation allowBlank="1" showInputMessage="1" showErrorMessage="1" prompt="Podra personalizar el rotulo del campo el cual visualizara el susuario final al momento de realizar el pago. " sqref="I36:O36 I38:O38 I40:O40" xr:uid="{B6C4C23B-39C2-4C35-B0B2-1A35AB40F55E}"/>
    <dataValidation allowBlank="1" showInputMessage="1" showErrorMessage="1" prompt="ACH Colombia debe enviar algun documento adicional para aceptar y cancelar la facura, especifique que documentos u otros requisitos se deben cumplir." sqref="B81:O81" xr:uid="{6975FB4C-A334-4B91-8E79-50F3191A92B8}"/>
    <dataValidation allowBlank="1" showInputMessage="1" showErrorMessage="1" prompt="Si no aplica relacione N/A" sqref="B79:AA79" xr:uid="{D5C815BC-70A2-42EE-9BCF-950F146823B0}"/>
    <dataValidation allowBlank="1" showInputMessage="1" showErrorMessage="1" prompt="Por favor relacione las fechas estipuladas en su empresa para recibir facturas de cobro." sqref="B77:H77" xr:uid="{383AE232-6DB5-43BE-AE38-709C937F90EE}"/>
    <dataValidation type="list" allowBlank="1" showInputMessage="1" showErrorMessage="1" prompt="Seleccione el responsable del pago de la funcionalidad." sqref="W73:AA73" xr:uid="{E9F21040-D8C0-4B54-B32B-A97ED18D0F4F}">
      <formula1>"Empresa, Banco, Distribuidor Financiero, Distribuidor de PSE Hosting"</formula1>
    </dataValidation>
    <dataValidation allowBlank="1" showInputMessage="1" showErrorMessage="1" prompt="Este es el costo sin IVA de la funcionalidad y medios de pagos seleccionados. " sqref="J73:O73 B73:G73" xr:uid="{B5787AF4-730C-466C-ADBD-52810B6831D2}"/>
    <dataValidation type="list" allowBlank="1" showInputMessage="1" showErrorMessage="1" prompt="ACH Colombia debe enviar algun documento adicional para aceptar y cancelar la facura, especifique que documentos u otros requisitos se deben cumplir." sqref="P81:R81" xr:uid="{E2B95B78-24BF-4FFB-A7FE-53C81C1478CE}">
      <formula1>"Si, No"</formula1>
    </dataValidation>
    <dataValidation type="list" allowBlank="1" showInputMessage="1" showErrorMessage="1" sqref="F76:I76" xr:uid="{72C68987-3A5E-44C8-A44A-AA516CEB9AE9}">
      <formula1>"Paquete 100, paquete 500, Paquete 2.000, Paquete 5.000"</formula1>
    </dataValidation>
    <dataValidation type="list" allowBlank="1" showInputMessage="1" showErrorMessage="1" sqref="H66 H64 H68" xr:uid="{77B7964A-B473-446F-9769-353FAAFF5DED}">
      <formula1>"Visible, Oculto"</formula1>
    </dataValidation>
    <dataValidation type="list" allowBlank="1" showInputMessage="1" showErrorMessage="1" sqref="X76:AA76" xr:uid="{53E2582B-F1C6-496B-8CA3-E1E9297C7AC0}">
      <formula1>"Empresa, Banco, Aliado estratégico"</formula1>
    </dataValidation>
    <dataValidation type="list" allowBlank="1" showInputMessage="1" showErrorMessage="1" sqref="K66 K64 K68 F55 E32" xr:uid="{AB409220-B733-4192-AC88-DC070719DB7D}">
      <formula1>"SI, NO"</formula1>
    </dataValidation>
    <dataValidation type="list" allowBlank="1" showInputMessage="1" showErrorMessage="1" error="Dato No Valido" prompt="Para visualizar un ejemplo de la platilla puede dar clic en el vínculo (Seleccione aquí plantillas y colores)." sqref="O14:T14" xr:uid="{7F2A5D41-1C13-474B-80D5-053A3FF7843D}">
      <formula1>"Seleccione, Plantilla Tipo 1, Plantilla Tipo 2"</formula1>
    </dataValidation>
    <dataValidation type="custom" allowBlank="1" showInputMessage="1" showErrorMessage="1" prompt="La lista desplegable esta atada a la descripcion del pago siempre y cuando no se relacionen valores fijos." sqref="B23:E23" xr:uid="{8AC6421E-0018-47F2-B345-914CB3DAEEBC}">
      <formula1>B23</formula1>
    </dataValidation>
    <dataValidation type="list" allowBlank="1" showInputMessage="1" showErrorMessage="1" prompt="Esta opción le permite habilitar una lista de selección con la que el usuario pagador podrá interactuar." sqref="F23" xr:uid="{66F29D4D-4492-4351-9C18-15A49591BE1D}">
      <formula1>"SI, NO"</formula1>
    </dataValidation>
    <dataValidation allowBlank="1" showInputMessage="1" showErrorMessage="1" prompt="El usuario final no diligenciara un valor a pagar, este estará atado al concepto relacionado." sqref="B25:E25" xr:uid="{9ACA7060-321C-42D6-8C58-156B4CCE7959}"/>
    <dataValidation type="list" allowBlank="1" showInputMessage="1" showErrorMessage="1" prompt="El usuario final no diligenciara un valor a pagar, este estará atado al concepto relacionado." sqref="F25" xr:uid="{6A0B2A7E-AB5C-4515-934A-AD97E032E778}">
      <formula1>"SI, NO"</formula1>
    </dataValidation>
    <dataValidation allowBlank="1" showInputMessage="1" showErrorMessage="1" prompt="Descripción que aparecerá en la lista desplegable y seleccionara el usuario final. " sqref="I25:R25 U25 W25:AA25" xr:uid="{52A805F6-3682-4F91-8749-54B60C7692B4}"/>
    <dataValidation allowBlank="1" showInputMessage="1" showErrorMessage="1" prompt="Valor que estará atado al concepto de pago." sqref="I27:R27 U27 W27 Y27:AA27" xr:uid="{138E8C99-E35A-467F-B4CA-DD077C92F145}"/>
    <dataValidation allowBlank="1" showInputMessage="1" showErrorMessage="1" prompt="Puede direccionar el recaudo a diferentes cuentas a través del código de servicio._x000a__x000a_Este debe coincidir con el código relacionado en la carta de presentación. " sqref="B27:E27" xr:uid="{3A025276-8ABF-4DB4-8B57-6926157366D0}"/>
    <dataValidation type="list" allowBlank="1" showInputMessage="1" showErrorMessage="1" prompt="Puede direccionar el recaudo a diferentes cuentas a través del código de servicio." sqref="F27" xr:uid="{BE28294E-94EF-44A5-9A5B-D4BD09D7BF39}">
      <formula1>"SI, NO"</formula1>
    </dataValidation>
    <dataValidation type="list" allowBlank="1" showInputMessage="1" showErrorMessage="1" prompt="Seleccione el responsable del pago del Plan Transaccional." sqref="M75:P75" xr:uid="{96B0A397-4E48-4A64-BB70-50031C199DDA}">
      <formula1>"Empresa, Banco, Distribuidor Financiero, Distribuidor de PSE Hosting"</formula1>
    </dataValidation>
    <dataValidation type="list" allowBlank="1" showInputMessage="1" showErrorMessage="1" prompt="Seleccione el Distribuidor de PSE Hosting a cargo. " sqref="AC73:AG73 R75:V75" xr:uid="{1F3281D4-5E96-47D6-B3C2-B811B9D511BC}">
      <formula1>DistribuidorHosting</formula1>
    </dataValidation>
    <dataValidation type="list" allowBlank="1" showInputMessage="1" showErrorMessage="1" sqref="K12:AA12" xr:uid="{37B433D7-F382-4CB8-888F-95680214890D}">
      <formula1>INDIRECT(#REF!)</formula1>
    </dataValidation>
    <dataValidation allowBlank="1" showInputMessage="1" showErrorMessage="1" prompt="Logotipo de la compañía (155X96 pixeles; Tamaño: 11 KB; Formato JPG o GIF fondo transparente) **En caso de utilizar un logo diferente al de la empresa a vincular, anexar autorización escrita del propietario de la marca comercial. " sqref="B16:AA16 B14:N14" xr:uid="{8C31658D-7B72-4617-BDCE-1B84AF343AB4}"/>
    <dataValidation allowBlank="1" showInputMessage="1" showErrorMessage="1" prompt="Este campo es obligatorio" sqref="B36:F36" xr:uid="{ED3C7A76-10C0-4B77-9130-A8048B4890F6}"/>
    <dataValidation type="list" allowBlank="1" showInputMessage="1" showErrorMessage="1" error="Campo obligatorio, por tal motivo si no utiliza este campo márquelo como “Oculto”." prompt="Campo obligatorio, por tal motivo si no utiliza este campo márquelo como “Oculto”." sqref="H49" xr:uid="{095C416C-69AE-434D-BB76-FE94D95FA2C0}">
      <formula1>"Oculto"</formula1>
    </dataValidation>
    <dataValidation type="list" allowBlank="1" showInputMessage="1" showErrorMessage="1" sqref="K11:AA11" xr:uid="{9DE38E42-6FAE-45D1-AA9B-B5CAEDAECA27}">
      <formula1>INDIRECT(bancos)</formula1>
    </dataValidation>
  </dataValidations>
  <printOptions horizontalCentered="1"/>
  <pageMargins left="0.70866141732283472" right="0.70866141732283472" top="0.74803149606299213" bottom="0.74803149606299213" header="0.31496062992125984" footer="0.31496062992125984"/>
  <pageSetup scale="50" orientation="portrait" r:id="rId2"/>
  <headerFooter>
    <oddHeader>&amp;L&amp;"Calibri"&amp;10&amp;K000000 Información de carácter Confidencial&amp;1#_x000D_</oddHeader>
  </headerFooter>
  <ignoredErrors>
    <ignoredError sqref="G27 B38" unlockedFormula="1"/>
  </ignoredErrors>
  <drawing r:id="rId3"/>
  <extLst>
    <ext xmlns:x14="http://schemas.microsoft.com/office/spreadsheetml/2009/9/main" uri="{CCE6A557-97BC-4b89-ADB6-D9C93CAAB3DF}">
      <x14:dataValidations xmlns:xm="http://schemas.microsoft.com/office/excel/2006/main" xWindow="318" yWindow="465" count="1">
        <x14:dataValidation type="list" allowBlank="1" showInputMessage="1" showErrorMessage="1" xr:uid="{20710BAF-B239-4715-BED1-F8718D427246}">
          <x14:formula1>
            <xm:f>DT!$A$2:$A$10</xm:f>
          </x14:formula1>
          <xm:sqref>K10:AA10</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E453DD-2394-4BFC-93BE-A3FC3F8B4095}">
  <sheetPr codeName="Hoja10">
    <pageSetUpPr fitToPage="1"/>
  </sheetPr>
  <dimension ref="A1:XFD132"/>
  <sheetViews>
    <sheetView showGridLines="0" zoomScale="85" zoomScaleNormal="85" workbookViewId="0">
      <selection sqref="A1:AC4"/>
    </sheetView>
  </sheetViews>
  <sheetFormatPr baseColWidth="10" defaultColWidth="11.44140625" defaultRowHeight="13.8" x14ac:dyDescent="0.3"/>
  <cols>
    <col min="1" max="1" width="2.44140625" style="93" customWidth="1"/>
    <col min="2" max="2" width="4" style="93" customWidth="1"/>
    <col min="3" max="3" width="6.5546875" style="93" customWidth="1"/>
    <col min="4" max="4" width="7" style="93" customWidth="1"/>
    <col min="5" max="5" width="10.33203125" style="93" customWidth="1"/>
    <col min="6" max="6" width="6.33203125" style="93" customWidth="1"/>
    <col min="7" max="7" width="3.33203125" style="93" customWidth="1"/>
    <col min="8" max="8" width="7.5546875" style="93" customWidth="1"/>
    <col min="9" max="9" width="3.5546875" style="93" customWidth="1"/>
    <col min="10" max="10" width="4.109375" style="93" customWidth="1"/>
    <col min="11" max="11" width="5.88671875" style="93" customWidth="1"/>
    <col min="12" max="12" width="3.109375" style="93" customWidth="1"/>
    <col min="13" max="13" width="3.6640625" style="93" customWidth="1"/>
    <col min="14" max="14" width="6" style="93" customWidth="1"/>
    <col min="15" max="15" width="3.6640625" style="93" customWidth="1"/>
    <col min="16" max="16" width="2.6640625" style="93" customWidth="1"/>
    <col min="17" max="17" width="3.6640625" style="93" customWidth="1"/>
    <col min="18" max="18" width="5" style="93" customWidth="1"/>
    <col min="19" max="24" width="3.6640625" style="93" customWidth="1"/>
    <col min="25" max="25" width="3.44140625" style="93" customWidth="1"/>
    <col min="26" max="26" width="4.33203125" style="93" customWidth="1"/>
    <col min="27" max="27" width="6.5546875" style="95" customWidth="1"/>
    <col min="28" max="28" width="4.6640625" style="95" customWidth="1"/>
    <col min="29" max="29" width="8.5546875" style="93" customWidth="1"/>
    <col min="30" max="30" width="5" style="93" customWidth="1"/>
    <col min="31" max="31" width="6.44140625" style="93" customWidth="1"/>
    <col min="32" max="32" width="3.6640625" style="93" customWidth="1"/>
    <col min="33" max="33" width="4.33203125" style="93" customWidth="1"/>
    <col min="34" max="34" width="10.6640625" style="93" customWidth="1"/>
    <col min="35" max="35" width="5.33203125" style="93" customWidth="1"/>
    <col min="36" max="42" width="10.6640625" style="93" customWidth="1"/>
    <col min="43" max="64" width="3.6640625" style="93" customWidth="1"/>
    <col min="65" max="16384" width="11.44140625" style="93"/>
  </cols>
  <sheetData>
    <row r="1" spans="1:256" ht="15.6" x14ac:dyDescent="0.3">
      <c r="A1" s="283"/>
      <c r="B1" s="284"/>
      <c r="C1" s="284"/>
      <c r="D1" s="284"/>
      <c r="E1" s="284"/>
      <c r="F1" s="284"/>
      <c r="G1" s="284"/>
      <c r="H1" s="284"/>
      <c r="I1" s="284"/>
      <c r="J1" s="284"/>
      <c r="K1" s="284"/>
      <c r="L1" s="284"/>
      <c r="M1" s="284"/>
      <c r="N1" s="284"/>
      <c r="O1" s="284"/>
      <c r="P1" s="284"/>
      <c r="Q1" s="284"/>
      <c r="R1" s="284"/>
      <c r="S1" s="284"/>
      <c r="T1" s="284"/>
      <c r="U1" s="284"/>
      <c r="V1" s="284"/>
      <c r="W1" s="284"/>
      <c r="X1" s="284"/>
      <c r="Y1" s="284"/>
      <c r="Z1" s="284"/>
      <c r="AA1" s="284"/>
      <c r="AB1" s="285"/>
      <c r="AC1" s="283"/>
      <c r="AK1" s="289"/>
      <c r="DG1" s="94" t="s">
        <v>297</v>
      </c>
      <c r="DH1" s="94" t="e">
        <f>#REF!</f>
        <v>#REF!</v>
      </c>
    </row>
    <row r="2" spans="1:256" ht="15.6" x14ac:dyDescent="0.3">
      <c r="A2" s="283"/>
      <c r="B2" s="284" t="s">
        <v>49</v>
      </c>
      <c r="C2" s="284"/>
      <c r="D2" s="284"/>
      <c r="E2" s="284"/>
      <c r="F2" s="284"/>
      <c r="G2" s="284"/>
      <c r="H2" s="284"/>
      <c r="I2" s="284"/>
      <c r="J2" s="284"/>
      <c r="K2" s="284"/>
      <c r="L2" s="284"/>
      <c r="M2" s="284"/>
      <c r="N2" s="284"/>
      <c r="O2" s="284"/>
      <c r="P2" s="284"/>
      <c r="Q2" s="284"/>
      <c r="R2" s="284"/>
      <c r="S2" s="284"/>
      <c r="T2" s="284"/>
      <c r="U2" s="284"/>
      <c r="V2" s="284"/>
      <c r="W2" s="284"/>
      <c r="X2" s="284"/>
      <c r="Y2" s="284"/>
      <c r="Z2" s="284"/>
      <c r="AA2" s="284"/>
      <c r="AB2" s="285"/>
      <c r="AC2" s="283"/>
      <c r="AK2" s="289"/>
      <c r="DG2" s="94" t="s">
        <v>298</v>
      </c>
      <c r="DH2" s="94" t="e">
        <f>#REF!</f>
        <v>#REF!</v>
      </c>
    </row>
    <row r="3" spans="1:256" ht="15.6" x14ac:dyDescent="0.3">
      <c r="A3" s="283"/>
      <c r="B3" s="285" t="s">
        <v>182</v>
      </c>
      <c r="C3" s="285"/>
      <c r="D3" s="285"/>
      <c r="E3" s="285"/>
      <c r="F3" s="285"/>
      <c r="G3" s="285"/>
      <c r="H3" s="285"/>
      <c r="I3" s="286"/>
      <c r="J3" s="285" t="s">
        <v>180</v>
      </c>
      <c r="K3" s="285"/>
      <c r="L3" s="285"/>
      <c r="M3" s="285"/>
      <c r="N3" s="285"/>
      <c r="O3" s="285"/>
      <c r="P3" s="285"/>
      <c r="Q3" s="285"/>
      <c r="R3" s="285"/>
      <c r="S3" s="285"/>
      <c r="T3" s="285"/>
      <c r="U3" s="285"/>
      <c r="V3" s="285"/>
      <c r="W3" s="285"/>
      <c r="X3" s="285"/>
      <c r="Y3" s="285"/>
      <c r="Z3" s="287"/>
      <c r="AA3" s="287"/>
      <c r="AB3" s="283"/>
      <c r="AC3" s="283"/>
    </row>
    <row r="4" spans="1:256" ht="15.6" x14ac:dyDescent="0.3">
      <c r="A4" s="283"/>
      <c r="B4" s="288" t="s">
        <v>5</v>
      </c>
      <c r="C4" s="288"/>
      <c r="D4" s="288"/>
      <c r="E4" s="288"/>
      <c r="F4" s="288"/>
      <c r="G4" s="288"/>
      <c r="H4" s="288"/>
      <c r="I4" s="288"/>
      <c r="J4" s="288"/>
      <c r="K4" s="288"/>
      <c r="L4" s="288"/>
      <c r="M4" s="288"/>
      <c r="N4" s="288"/>
      <c r="O4" s="288"/>
      <c r="P4" s="288"/>
      <c r="Q4" s="288"/>
      <c r="R4" s="288"/>
      <c r="S4" s="288"/>
      <c r="T4" s="288"/>
      <c r="U4" s="288"/>
      <c r="V4" s="288"/>
      <c r="W4" s="288"/>
      <c r="X4" s="288"/>
      <c r="Y4" s="288"/>
      <c r="Z4" s="288"/>
      <c r="AA4" s="288"/>
      <c r="AB4" s="288"/>
      <c r="AC4" s="288"/>
      <c r="AK4" s="289"/>
    </row>
    <row r="5" spans="1:256" ht="15.6" x14ac:dyDescent="0.3">
      <c r="B5" s="95"/>
      <c r="C5" s="95"/>
      <c r="D5" s="95"/>
      <c r="E5" s="95"/>
      <c r="F5" s="95"/>
      <c r="G5" s="95"/>
      <c r="H5" s="95"/>
      <c r="I5" s="95"/>
      <c r="J5" s="95"/>
      <c r="K5" s="95"/>
      <c r="L5" s="95"/>
      <c r="M5" s="95"/>
      <c r="N5" s="95"/>
      <c r="O5" s="95"/>
      <c r="P5" s="95"/>
      <c r="Q5" s="95"/>
      <c r="R5" s="95"/>
      <c r="S5" s="95"/>
      <c r="T5" s="95"/>
      <c r="U5" s="95"/>
      <c r="V5" s="95"/>
      <c r="W5" s="95"/>
      <c r="X5" s="95"/>
      <c r="Y5" s="95"/>
      <c r="Z5" s="95"/>
      <c r="AK5" s="290"/>
    </row>
    <row r="6" spans="1:256" ht="13.5" customHeight="1" x14ac:dyDescent="0.3">
      <c r="B6" s="145" t="s">
        <v>18</v>
      </c>
      <c r="C6" s="145"/>
      <c r="D6" s="145"/>
      <c r="E6" s="145"/>
      <c r="F6" s="95"/>
      <c r="G6" s="291"/>
      <c r="H6" s="292"/>
      <c r="I6" s="292"/>
      <c r="J6" s="292"/>
      <c r="K6" s="292"/>
      <c r="L6" s="292"/>
      <c r="M6" s="292"/>
      <c r="N6" s="292"/>
      <c r="O6" s="292"/>
      <c r="P6" s="292"/>
      <c r="Q6" s="292"/>
      <c r="R6" s="292"/>
      <c r="S6" s="292"/>
      <c r="T6" s="292"/>
      <c r="U6" s="292"/>
      <c r="V6" s="292"/>
      <c r="W6" s="292"/>
      <c r="X6" s="292"/>
      <c r="Y6" s="292"/>
      <c r="Z6" s="292"/>
      <c r="AA6" s="292"/>
      <c r="AC6" s="103"/>
      <c r="AK6" s="290"/>
      <c r="DI6" s="93">
        <v>1</v>
      </c>
      <c r="DK6" s="93" cm="1">
        <f t="array" ref="DK6:DK33">+_xlfn._xlws.SORT(_xlfn._xlws.FILTER(DI6:DI33,NOT(COUNTIF(Q:Q,DI6:DI33))))</f>
        <v>1</v>
      </c>
    </row>
    <row r="7" spans="1:256" ht="13.5" customHeight="1" x14ac:dyDescent="0.3">
      <c r="B7" s="28"/>
      <c r="C7" s="28"/>
      <c r="D7" s="28"/>
      <c r="E7" s="28"/>
      <c r="F7" s="95"/>
      <c r="G7" s="97"/>
      <c r="H7" s="98"/>
      <c r="I7" s="98"/>
      <c r="J7" s="98"/>
      <c r="K7" s="98"/>
      <c r="L7" s="98"/>
      <c r="M7" s="98"/>
      <c r="N7" s="98"/>
      <c r="O7" s="98"/>
      <c r="P7" s="98"/>
      <c r="Q7" s="98"/>
      <c r="R7" s="98"/>
      <c r="S7" s="98"/>
      <c r="T7" s="98"/>
      <c r="U7" s="98"/>
      <c r="V7" s="98"/>
      <c r="W7" s="98"/>
      <c r="X7" s="98"/>
      <c r="Y7" s="98"/>
      <c r="Z7" s="98"/>
      <c r="AA7" s="98"/>
      <c r="AC7" s="103"/>
      <c r="AK7" s="290"/>
      <c r="DI7" s="93">
        <v>2</v>
      </c>
      <c r="DK7" s="93">
        <v>2</v>
      </c>
    </row>
    <row r="8" spans="1:256" ht="15.6" x14ac:dyDescent="0.3">
      <c r="B8" s="161" t="s">
        <v>19</v>
      </c>
      <c r="C8" s="161"/>
      <c r="D8" s="293"/>
      <c r="E8" s="147"/>
      <c r="F8" s="147"/>
      <c r="G8" s="147"/>
      <c r="H8" s="147"/>
      <c r="I8" s="147"/>
      <c r="K8" s="161" t="s">
        <v>20</v>
      </c>
      <c r="L8" s="161"/>
      <c r="M8" s="161"/>
      <c r="N8" s="161"/>
      <c r="O8" s="161"/>
      <c r="P8" s="161"/>
      <c r="Q8" s="161"/>
      <c r="R8" s="161"/>
      <c r="S8" s="187">
        <f ca="1">+TODAY()</f>
        <v>45849</v>
      </c>
      <c r="T8" s="187"/>
      <c r="U8" s="187"/>
      <c r="V8" s="187"/>
      <c r="W8" s="187"/>
      <c r="X8" s="187"/>
      <c r="Y8" s="187"/>
      <c r="Z8" s="187"/>
      <c r="AA8" s="187"/>
      <c r="AB8" s="294"/>
      <c r="AK8" s="290"/>
      <c r="DI8" s="93">
        <v>3</v>
      </c>
      <c r="DK8" s="93">
        <v>3</v>
      </c>
    </row>
    <row r="9" spans="1:256" ht="24.75" customHeight="1" x14ac:dyDescent="0.3">
      <c r="N9" s="100"/>
      <c r="P9" s="100"/>
      <c r="Q9" s="100"/>
      <c r="R9" s="100"/>
      <c r="S9" s="188" t="s">
        <v>9</v>
      </c>
      <c r="T9" s="188"/>
      <c r="U9" s="188"/>
      <c r="V9" s="188"/>
      <c r="W9" s="188"/>
      <c r="X9" s="188"/>
      <c r="Y9" s="188"/>
      <c r="Z9" s="188"/>
      <c r="AA9" s="188"/>
      <c r="AD9" s="103"/>
      <c r="AE9" s="103"/>
      <c r="AF9" s="103"/>
      <c r="DI9" s="93">
        <v>4</v>
      </c>
      <c r="DK9" s="93">
        <v>4</v>
      </c>
    </row>
    <row r="10" spans="1:256" ht="14.4" x14ac:dyDescent="0.3">
      <c r="B10" s="178" t="s">
        <v>1356</v>
      </c>
      <c r="C10" s="178"/>
      <c r="D10" s="178"/>
      <c r="E10" s="178"/>
      <c r="F10" s="178"/>
      <c r="G10" s="178"/>
      <c r="H10" s="178"/>
      <c r="I10" s="178"/>
      <c r="J10" s="178"/>
      <c r="K10" s="195" t="s">
        <v>0</v>
      </c>
      <c r="L10" s="195"/>
      <c r="M10" s="195"/>
      <c r="N10" s="195"/>
      <c r="O10" s="195"/>
      <c r="P10" s="195"/>
      <c r="Q10" s="195"/>
      <c r="R10" s="195"/>
      <c r="S10" s="195"/>
      <c r="T10" s="195"/>
      <c r="U10" s="195"/>
      <c r="V10" s="195"/>
      <c r="W10" s="195"/>
      <c r="X10" s="195"/>
      <c r="Y10" s="195"/>
      <c r="Z10" s="195"/>
      <c r="AA10" s="195"/>
      <c r="AB10" s="99"/>
      <c r="AD10" s="103"/>
      <c r="AE10" s="103"/>
      <c r="AF10" s="103"/>
      <c r="DI10" s="93">
        <v>5</v>
      </c>
      <c r="DK10" s="93">
        <v>5</v>
      </c>
      <c r="IV10" s="101" t="s">
        <v>236</v>
      </c>
    </row>
    <row r="11" spans="1:256" ht="22.8" customHeight="1" x14ac:dyDescent="0.3">
      <c r="B11" s="191" t="s">
        <v>154</v>
      </c>
      <c r="C11" s="191"/>
      <c r="D11" s="191"/>
      <c r="E11" s="191"/>
      <c r="F11" s="191"/>
      <c r="G11" s="191"/>
      <c r="H11" s="191"/>
      <c r="I11" s="191"/>
      <c r="J11" s="191"/>
      <c r="K11" s="295"/>
      <c r="L11" s="295"/>
      <c r="M11" s="295"/>
      <c r="N11" s="295"/>
      <c r="O11" s="295"/>
      <c r="P11" s="295"/>
      <c r="Q11" s="295"/>
      <c r="R11" s="295"/>
      <c r="S11" s="295"/>
      <c r="T11" s="295"/>
      <c r="U11" s="295"/>
      <c r="V11" s="295"/>
      <c r="W11" s="295"/>
      <c r="X11" s="295"/>
      <c r="Y11" s="295"/>
      <c r="Z11" s="295"/>
      <c r="AA11" s="295"/>
      <c r="AD11" s="103"/>
      <c r="AE11" s="103"/>
      <c r="AF11" s="103"/>
      <c r="DI11" s="93">
        <v>6</v>
      </c>
      <c r="DK11" s="93">
        <v>6</v>
      </c>
      <c r="IV11" s="101" t="s">
        <v>239</v>
      </c>
    </row>
    <row r="12" spans="1:256" ht="15" customHeight="1" x14ac:dyDescent="0.3">
      <c r="B12" s="144"/>
      <c r="C12" s="144"/>
      <c r="D12" s="144"/>
      <c r="E12" s="144"/>
      <c r="F12" s="144"/>
      <c r="G12" s="144"/>
      <c r="H12" s="144"/>
      <c r="I12" s="144"/>
      <c r="J12" s="144"/>
      <c r="K12" s="102"/>
      <c r="L12" s="102"/>
      <c r="M12" s="102"/>
      <c r="N12" s="102"/>
      <c r="O12" s="102"/>
      <c r="P12" s="102"/>
      <c r="Q12" s="102"/>
      <c r="R12" s="102"/>
      <c r="S12" s="102"/>
      <c r="T12" s="102"/>
      <c r="U12" s="102"/>
      <c r="V12" s="102"/>
      <c r="W12" s="102"/>
      <c r="X12" s="102"/>
      <c r="Y12" s="102"/>
      <c r="Z12" s="102"/>
      <c r="AA12" s="102"/>
      <c r="AD12" s="103"/>
      <c r="AE12" s="103"/>
      <c r="AF12" s="103"/>
      <c r="DI12" s="93">
        <v>7</v>
      </c>
      <c r="DK12" s="93">
        <v>7</v>
      </c>
      <c r="IV12" s="101"/>
    </row>
    <row r="13" spans="1:256" ht="12.75" customHeight="1" x14ac:dyDescent="0.3">
      <c r="B13" s="101"/>
      <c r="C13" s="101"/>
      <c r="D13" s="101"/>
      <c r="E13" s="101"/>
      <c r="F13" s="101"/>
      <c r="G13" s="101"/>
      <c r="H13" s="101"/>
      <c r="I13" s="101"/>
      <c r="J13" s="101"/>
      <c r="K13" s="101"/>
      <c r="L13" s="101"/>
      <c r="M13" s="101"/>
      <c r="N13" s="101"/>
      <c r="O13" s="101"/>
      <c r="P13" s="101"/>
      <c r="Q13" s="101"/>
      <c r="R13" s="101"/>
      <c r="S13" s="101"/>
      <c r="T13" s="101"/>
      <c r="U13" s="101"/>
      <c r="V13" s="101"/>
      <c r="W13" s="101"/>
      <c r="X13" s="101"/>
      <c r="Y13" s="101"/>
      <c r="Z13" s="101"/>
      <c r="AA13" s="101"/>
      <c r="AB13" s="99"/>
      <c r="AD13" s="103"/>
      <c r="AE13" s="103"/>
      <c r="AF13" s="103"/>
      <c r="DI13" s="93">
        <v>8</v>
      </c>
      <c r="DK13" s="93">
        <v>8</v>
      </c>
      <c r="IV13" s="101" t="s">
        <v>240</v>
      </c>
    </row>
    <row r="14" spans="1:256" ht="15" customHeight="1" x14ac:dyDescent="0.3">
      <c r="B14" s="152" t="s">
        <v>22</v>
      </c>
      <c r="C14" s="152"/>
      <c r="D14" s="152"/>
      <c r="E14" s="152"/>
      <c r="F14" s="152"/>
      <c r="G14" s="152"/>
      <c r="H14" s="152"/>
      <c r="I14" s="152"/>
      <c r="J14" s="152"/>
      <c r="K14" s="152"/>
      <c r="L14" s="152"/>
      <c r="M14" s="152"/>
      <c r="N14" s="152"/>
      <c r="O14" s="152"/>
      <c r="P14" s="152"/>
      <c r="Q14" s="152"/>
      <c r="R14" s="152"/>
      <c r="S14" s="152"/>
      <c r="T14" s="152"/>
      <c r="U14" s="152"/>
      <c r="V14" s="152"/>
      <c r="W14" s="152"/>
      <c r="X14" s="152"/>
      <c r="Y14" s="152"/>
      <c r="Z14" s="152"/>
      <c r="AA14" s="152"/>
      <c r="AB14" s="152"/>
      <c r="AC14" s="152"/>
      <c r="AD14" s="103"/>
      <c r="AE14" s="103"/>
      <c r="AF14" s="103"/>
      <c r="DI14" s="93">
        <v>9</v>
      </c>
      <c r="DK14" s="93">
        <v>9</v>
      </c>
      <c r="IV14" s="101" t="s">
        <v>248</v>
      </c>
    </row>
    <row r="15" spans="1:256" ht="15" customHeight="1" x14ac:dyDescent="0.3">
      <c r="B15" s="296" t="s">
        <v>155</v>
      </c>
      <c r="C15" s="296"/>
      <c r="D15" s="296"/>
      <c r="E15" s="296"/>
      <c r="F15" s="296"/>
      <c r="G15" s="296"/>
      <c r="H15" s="296"/>
      <c r="I15" s="296"/>
      <c r="J15" s="296"/>
      <c r="K15" s="296"/>
      <c r="L15" s="296"/>
      <c r="M15" s="296"/>
      <c r="N15" s="296"/>
      <c r="O15" s="192" t="s">
        <v>0</v>
      </c>
      <c r="P15" s="192"/>
      <c r="Q15" s="192"/>
      <c r="R15" s="192"/>
      <c r="S15" s="192"/>
      <c r="T15" s="192"/>
      <c r="U15" s="95"/>
      <c r="V15" s="193" t="str">
        <f>IFERROR(HYPERLINK("#" &amp; VLOOKUP(O15,Datos!$R$4:$S$8,2,0), "Ver Plantilla"),"Seleccione Plantilla")</f>
        <v>Seleccione Plantilla</v>
      </c>
      <c r="W15" s="297"/>
      <c r="X15" s="297"/>
      <c r="Y15" s="297"/>
      <c r="Z15" s="297"/>
      <c r="AA15" s="297"/>
      <c r="AB15" s="297"/>
      <c r="AC15" s="297"/>
      <c r="AD15" s="106"/>
      <c r="AE15" s="103"/>
      <c r="AF15" s="103"/>
      <c r="DI15" s="93">
        <v>10</v>
      </c>
      <c r="DK15" s="93">
        <v>10</v>
      </c>
      <c r="IV15" s="101" t="s">
        <v>249</v>
      </c>
    </row>
    <row r="16" spans="1:256" ht="15.75" customHeight="1" x14ac:dyDescent="0.3">
      <c r="AA16" s="93"/>
      <c r="AD16" s="103"/>
      <c r="AE16" s="103"/>
      <c r="AF16" s="103"/>
      <c r="DI16" s="93">
        <v>11</v>
      </c>
      <c r="DK16" s="93">
        <v>11</v>
      </c>
      <c r="IV16" s="101" t="s">
        <v>1318</v>
      </c>
    </row>
    <row r="17" spans="2:256" ht="15" customHeight="1" x14ac:dyDescent="0.3">
      <c r="B17" s="152" t="s">
        <v>29</v>
      </c>
      <c r="C17" s="152"/>
      <c r="D17" s="152"/>
      <c r="E17" s="152"/>
      <c r="F17" s="152"/>
      <c r="G17" s="152"/>
      <c r="H17" s="152"/>
      <c r="I17" s="152"/>
      <c r="J17" s="152"/>
      <c r="K17" s="152"/>
      <c r="L17" s="152"/>
      <c r="M17" s="152"/>
      <c r="N17" s="152"/>
      <c r="O17" s="152"/>
      <c r="P17" s="152"/>
      <c r="Q17" s="152"/>
      <c r="R17" s="152"/>
      <c r="S17" s="152"/>
      <c r="T17" s="152"/>
      <c r="U17" s="152"/>
      <c r="V17" s="152"/>
      <c r="W17" s="152"/>
      <c r="X17" s="152"/>
      <c r="Y17" s="152"/>
      <c r="Z17" s="152"/>
      <c r="AA17" s="152"/>
      <c r="AB17" s="152"/>
      <c r="AC17" s="152"/>
      <c r="AD17" s="103"/>
      <c r="AE17" s="103"/>
      <c r="AF17" s="103"/>
      <c r="DI17" s="93">
        <v>12</v>
      </c>
      <c r="DK17" s="93">
        <v>12</v>
      </c>
      <c r="IV17" s="101" t="s">
        <v>13</v>
      </c>
    </row>
    <row r="18" spans="2:256" ht="15" customHeight="1" x14ac:dyDescent="0.3">
      <c r="B18" s="179" t="s">
        <v>30</v>
      </c>
      <c r="C18" s="179"/>
      <c r="D18" s="179"/>
      <c r="E18" s="179"/>
      <c r="F18" s="179"/>
      <c r="G18" s="179"/>
      <c r="H18" s="179"/>
      <c r="I18" s="179"/>
      <c r="J18" s="179"/>
      <c r="K18" s="179"/>
      <c r="L18" s="179"/>
      <c r="M18" s="179"/>
      <c r="N18" s="179"/>
      <c r="O18" s="179"/>
      <c r="P18" s="179"/>
      <c r="Q18" s="179"/>
      <c r="R18" s="179"/>
      <c r="S18" s="179"/>
      <c r="T18" s="179"/>
      <c r="U18" s="179"/>
      <c r="V18" s="179"/>
      <c r="W18" s="179"/>
      <c r="X18" s="179"/>
      <c r="Y18" s="179"/>
      <c r="Z18" s="179"/>
      <c r="AA18" s="179"/>
      <c r="AB18" s="179"/>
      <c r="AC18" s="179"/>
      <c r="DI18" s="93">
        <v>13</v>
      </c>
      <c r="DK18" s="93">
        <v>13</v>
      </c>
      <c r="IV18" s="101" t="s">
        <v>253</v>
      </c>
    </row>
    <row r="19" spans="2:256" ht="15" customHeight="1" x14ac:dyDescent="0.3">
      <c r="B19" s="176" t="s">
        <v>51</v>
      </c>
      <c r="C19" s="176"/>
      <c r="D19" s="176"/>
      <c r="E19" s="176"/>
      <c r="F19" s="176"/>
      <c r="G19" s="176"/>
      <c r="H19" s="176"/>
      <c r="I19" s="176"/>
      <c r="J19" s="176"/>
      <c r="K19" s="176"/>
      <c r="L19" s="176"/>
      <c r="M19" s="176"/>
      <c r="N19" s="176"/>
      <c r="O19" s="176"/>
      <c r="P19" s="176"/>
      <c r="Q19" s="176"/>
      <c r="R19" s="176"/>
      <c r="S19" s="95"/>
      <c r="T19" s="298"/>
      <c r="U19" s="298"/>
      <c r="V19" s="298"/>
      <c r="W19" s="298"/>
      <c r="X19" s="298"/>
      <c r="Y19" s="298"/>
      <c r="Z19" s="298"/>
      <c r="AA19" s="298"/>
      <c r="AC19" s="95"/>
      <c r="AD19" s="120"/>
      <c r="AE19" s="120"/>
      <c r="AF19" s="120"/>
      <c r="AG19" s="120"/>
      <c r="AH19" s="120"/>
      <c r="AI19" s="120"/>
      <c r="AJ19" s="298"/>
      <c r="AK19" s="298"/>
      <c r="AL19" s="110"/>
      <c r="AM19" s="110"/>
      <c r="AN19" s="110"/>
      <c r="AO19" s="299"/>
      <c r="AP19" s="299"/>
      <c r="AQ19" s="299"/>
      <c r="AR19" s="112"/>
      <c r="AS19" s="112"/>
      <c r="AT19" s="112"/>
      <c r="AU19" s="112"/>
      <c r="AV19" s="112"/>
      <c r="AW19" s="112"/>
      <c r="AX19" s="112"/>
      <c r="DI19" s="93">
        <v>14</v>
      </c>
      <c r="DK19" s="93">
        <v>14</v>
      </c>
      <c r="IV19" s="101" t="s">
        <v>15</v>
      </c>
    </row>
    <row r="20" spans="2:256" ht="7.5" customHeight="1" x14ac:dyDescent="0.3">
      <c r="B20" s="95"/>
      <c r="C20" s="95"/>
      <c r="D20" s="95"/>
      <c r="E20" s="95"/>
      <c r="F20" s="95"/>
      <c r="G20" s="95"/>
      <c r="H20" s="124"/>
      <c r="I20" s="124"/>
      <c r="J20" s="124"/>
      <c r="K20" s="124"/>
      <c r="L20" s="124"/>
      <c r="M20" s="124"/>
      <c r="N20" s="124"/>
      <c r="P20" s="119"/>
      <c r="Q20" s="119"/>
      <c r="R20" s="119"/>
      <c r="S20" s="119"/>
      <c r="T20" s="298"/>
      <c r="U20" s="298"/>
      <c r="V20" s="298"/>
      <c r="W20" s="298"/>
      <c r="X20" s="298"/>
      <c r="Y20" s="298"/>
      <c r="Z20" s="298"/>
      <c r="AA20" s="298"/>
      <c r="AB20" s="120"/>
      <c r="AC20" s="6"/>
      <c r="AD20" s="120"/>
      <c r="AE20" s="120"/>
      <c r="AF20" s="120"/>
      <c r="AG20" s="120"/>
      <c r="AH20" s="120"/>
      <c r="AI20" s="120"/>
      <c r="AJ20" s="298"/>
      <c r="AK20" s="298"/>
      <c r="AL20" s="110"/>
      <c r="AM20" s="110"/>
      <c r="AN20" s="110"/>
      <c r="AO20" s="299"/>
      <c r="AP20" s="299"/>
      <c r="AQ20" s="299"/>
      <c r="AR20" s="112"/>
      <c r="AS20" s="112"/>
      <c r="AT20" s="112"/>
      <c r="AU20" s="112"/>
      <c r="AV20" s="112"/>
      <c r="AW20" s="112"/>
      <c r="AX20" s="112"/>
      <c r="DI20" s="93">
        <v>15</v>
      </c>
      <c r="DK20" s="93">
        <v>15</v>
      </c>
      <c r="IV20" s="101" t="s">
        <v>1319</v>
      </c>
    </row>
    <row r="21" spans="2:256" ht="15" customHeight="1" x14ac:dyDescent="0.3">
      <c r="B21" s="145" t="s">
        <v>183</v>
      </c>
      <c r="C21" s="145"/>
      <c r="D21" s="145"/>
      <c r="E21" s="145"/>
      <c r="F21" s="145"/>
      <c r="G21" s="145"/>
      <c r="H21" s="145"/>
      <c r="I21" s="145"/>
      <c r="J21" s="145"/>
      <c r="K21" s="163" t="s">
        <v>145</v>
      </c>
      <c r="L21" s="163"/>
      <c r="M21" s="163"/>
      <c r="N21" s="163"/>
      <c r="O21" s="163"/>
      <c r="P21" s="95"/>
      <c r="Q21" s="145" t="s">
        <v>146</v>
      </c>
      <c r="R21" s="145"/>
      <c r="S21" s="145"/>
      <c r="T21" s="300"/>
      <c r="U21" s="301" t="s">
        <v>147</v>
      </c>
      <c r="V21" s="95"/>
      <c r="W21" s="95"/>
      <c r="X21" s="95"/>
      <c r="Y21" s="95"/>
      <c r="Z21" s="95"/>
      <c r="AC21" s="95"/>
      <c r="AD21" s="95"/>
      <c r="AE21" s="302"/>
      <c r="AF21" s="302"/>
      <c r="AG21" s="302"/>
      <c r="AH21" s="302"/>
      <c r="AI21" s="303"/>
      <c r="AJ21" s="304"/>
      <c r="AK21" s="304"/>
      <c r="AL21" s="95"/>
      <c r="AM21" s="95"/>
      <c r="AN21" s="95"/>
      <c r="DI21" s="93">
        <v>16</v>
      </c>
      <c r="DK21" s="93">
        <v>16</v>
      </c>
      <c r="IV21" s="101" t="s">
        <v>1309</v>
      </c>
    </row>
    <row r="22" spans="2:256" ht="7.5" customHeight="1" x14ac:dyDescent="0.3">
      <c r="B22" s="95"/>
      <c r="C22" s="95"/>
      <c r="D22" s="95"/>
      <c r="E22" s="95"/>
      <c r="F22" s="95"/>
      <c r="G22" s="95"/>
      <c r="H22" s="124"/>
      <c r="I22" s="124"/>
      <c r="J22" s="124"/>
      <c r="K22" s="124"/>
      <c r="L22" s="124"/>
      <c r="M22" s="124"/>
      <c r="N22" s="124"/>
      <c r="O22" s="95"/>
      <c r="P22" s="119"/>
      <c r="Q22" s="119"/>
      <c r="R22" s="119"/>
      <c r="S22" s="119"/>
      <c r="T22" s="119"/>
      <c r="U22" s="95"/>
      <c r="V22" s="95"/>
      <c r="W22" s="95"/>
      <c r="X22" s="95"/>
      <c r="Y22" s="95"/>
      <c r="Z22" s="5"/>
      <c r="AA22" s="6"/>
      <c r="AB22" s="103"/>
      <c r="AC22" s="6"/>
      <c r="AD22" s="103"/>
      <c r="AE22" s="103"/>
      <c r="AF22" s="103"/>
      <c r="AG22" s="103"/>
      <c r="AH22" s="103"/>
      <c r="AI22" s="103"/>
      <c r="AJ22" s="103"/>
      <c r="AK22" s="103"/>
      <c r="AL22" s="103"/>
      <c r="AM22" s="103"/>
      <c r="AN22" s="9"/>
      <c r="AO22" s="112"/>
      <c r="AP22" s="112"/>
      <c r="AQ22" s="112"/>
      <c r="AR22" s="112"/>
      <c r="AS22" s="112"/>
      <c r="AT22" s="112"/>
      <c r="AU22" s="112"/>
      <c r="AV22" s="112"/>
      <c r="AW22" s="112"/>
      <c r="AX22" s="112"/>
      <c r="DI22" s="93">
        <v>17</v>
      </c>
      <c r="DK22" s="93">
        <v>17</v>
      </c>
      <c r="IV22" s="101" t="s">
        <v>1320</v>
      </c>
    </row>
    <row r="23" spans="2:256" ht="15" customHeight="1" x14ac:dyDescent="0.3">
      <c r="B23" s="145" t="s">
        <v>184</v>
      </c>
      <c r="C23" s="145"/>
      <c r="D23" s="145"/>
      <c r="E23" s="145"/>
      <c r="F23" s="145"/>
      <c r="G23" s="305" t="s">
        <v>1350</v>
      </c>
      <c r="H23" s="305"/>
      <c r="I23" s="305"/>
      <c r="J23" s="305"/>
      <c r="K23" s="305"/>
      <c r="L23" s="305"/>
      <c r="M23" s="305"/>
      <c r="N23" s="305"/>
      <c r="O23" s="95" t="e" vm="1">
        <v>#VALUE!</v>
      </c>
      <c r="P23" s="120"/>
      <c r="Q23" s="119"/>
      <c r="R23" s="119"/>
      <c r="S23" s="119"/>
      <c r="T23" s="119"/>
      <c r="U23" s="95"/>
      <c r="V23" s="95"/>
      <c r="W23" s="95"/>
      <c r="X23" s="95"/>
      <c r="Y23" s="95"/>
      <c r="Z23" s="95"/>
      <c r="AC23" s="6"/>
      <c r="AD23" s="103"/>
      <c r="AE23" s="103"/>
      <c r="AF23" s="103"/>
      <c r="AG23" s="103"/>
      <c r="AH23" s="103"/>
      <c r="AI23" s="103"/>
      <c r="AJ23" s="103"/>
      <c r="AK23" s="103"/>
      <c r="AL23" s="103"/>
      <c r="AM23" s="103"/>
      <c r="AN23" s="9"/>
      <c r="AO23" s="112"/>
      <c r="AP23" s="112"/>
      <c r="AQ23" s="112"/>
      <c r="AR23" s="112"/>
      <c r="AS23" s="112"/>
      <c r="AT23" s="112"/>
      <c r="AU23" s="112"/>
      <c r="AV23" s="112"/>
      <c r="AW23" s="112"/>
      <c r="AX23" s="112"/>
      <c r="DI23" s="93">
        <v>18</v>
      </c>
      <c r="DK23" s="93">
        <v>18</v>
      </c>
    </row>
    <row r="24" spans="2:256" ht="6" customHeight="1" x14ac:dyDescent="0.3">
      <c r="B24" s="28"/>
      <c r="C24" s="28"/>
      <c r="D24" s="28"/>
      <c r="E24" s="28"/>
      <c r="F24" s="28"/>
      <c r="G24" s="28"/>
      <c r="H24" s="28"/>
      <c r="I24" s="119"/>
      <c r="J24" s="119"/>
      <c r="K24" s="119"/>
      <c r="L24" s="119"/>
      <c r="M24" s="119"/>
      <c r="N24" s="119"/>
      <c r="O24" s="119"/>
      <c r="P24" s="119"/>
      <c r="Q24" s="119"/>
      <c r="R24" s="119"/>
      <c r="S24" s="119"/>
      <c r="T24" s="119"/>
      <c r="U24" s="95"/>
      <c r="V24" s="95"/>
      <c r="W24" s="95"/>
      <c r="X24" s="95"/>
      <c r="Y24" s="95"/>
      <c r="Z24" s="5"/>
      <c r="AA24" s="6"/>
      <c r="AB24" s="103"/>
      <c r="AC24" s="6"/>
      <c r="AD24" s="103"/>
      <c r="AE24" s="103"/>
      <c r="AF24" s="103"/>
      <c r="AG24" s="103"/>
      <c r="AH24" s="103"/>
      <c r="AI24" s="103"/>
      <c r="AJ24" s="103"/>
      <c r="AK24" s="103"/>
      <c r="AL24" s="103"/>
      <c r="AM24" s="103"/>
      <c r="AN24" s="9"/>
      <c r="AO24" s="112"/>
      <c r="AP24" s="112"/>
      <c r="AQ24" s="112"/>
      <c r="AR24" s="112"/>
      <c r="AS24" s="112"/>
      <c r="AT24" s="112"/>
      <c r="AU24" s="112"/>
      <c r="AV24" s="112"/>
      <c r="AW24" s="112"/>
      <c r="AX24" s="112"/>
      <c r="DI24" s="93">
        <v>19</v>
      </c>
      <c r="DK24" s="93">
        <v>19</v>
      </c>
    </row>
    <row r="25" spans="2:256" ht="15" customHeight="1" x14ac:dyDescent="0.3">
      <c r="B25" s="145" t="s">
        <v>185</v>
      </c>
      <c r="C25" s="145"/>
      <c r="D25" s="145"/>
      <c r="E25" s="145"/>
      <c r="F25" s="145"/>
      <c r="G25" s="305" t="s">
        <v>36</v>
      </c>
      <c r="H25" s="305"/>
      <c r="I25" s="305"/>
      <c r="J25" s="305"/>
      <c r="K25" s="305"/>
      <c r="L25" s="305"/>
      <c r="M25" s="305"/>
      <c r="N25" s="305"/>
      <c r="O25" s="95" t="e" vm="1">
        <v>#VALUE!</v>
      </c>
      <c r="P25" s="178"/>
      <c r="Q25" s="178"/>
      <c r="R25" s="304"/>
      <c r="S25" s="304"/>
      <c r="T25" s="304"/>
      <c r="U25" s="304"/>
      <c r="V25" s="304"/>
      <c r="W25" s="304"/>
      <c r="X25" s="304"/>
      <c r="Y25" s="304"/>
      <c r="Z25" s="95"/>
      <c r="AB25" s="93"/>
      <c r="AD25" s="103"/>
      <c r="AE25" s="103"/>
      <c r="AF25" s="9"/>
      <c r="AG25" s="112"/>
      <c r="AH25" s="112"/>
      <c r="AI25" s="112"/>
      <c r="AJ25" s="112"/>
      <c r="AK25" s="112"/>
      <c r="AL25" s="112"/>
      <c r="AM25" s="112"/>
      <c r="AN25" s="112"/>
      <c r="AO25" s="112"/>
      <c r="AP25" s="112"/>
      <c r="DI25" s="93">
        <v>20</v>
      </c>
      <c r="DK25" s="93">
        <v>20</v>
      </c>
    </row>
    <row r="26" spans="2:256" ht="6" customHeight="1" x14ac:dyDescent="0.3">
      <c r="B26" s="28"/>
      <c r="C26" s="28"/>
      <c r="D26" s="28"/>
      <c r="E26" s="28"/>
      <c r="F26" s="28"/>
      <c r="G26" s="28"/>
      <c r="H26" s="28"/>
      <c r="I26" s="119"/>
      <c r="J26" s="119"/>
      <c r="K26" s="119"/>
      <c r="L26" s="119"/>
      <c r="M26" s="119"/>
      <c r="N26" s="119"/>
      <c r="O26" s="119"/>
      <c r="P26" s="119"/>
      <c r="Q26" s="119"/>
      <c r="R26" s="119"/>
      <c r="S26" s="119"/>
      <c r="T26" s="119"/>
      <c r="U26" s="95"/>
      <c r="V26" s="95"/>
      <c r="W26" s="95"/>
      <c r="X26" s="95"/>
      <c r="Y26" s="95"/>
      <c r="Z26" s="5"/>
      <c r="AA26" s="6"/>
      <c r="AB26" s="103"/>
      <c r="AC26" s="6"/>
      <c r="AD26" s="103"/>
      <c r="AE26" s="103"/>
      <c r="AF26" s="9"/>
      <c r="AG26" s="112"/>
      <c r="AH26" s="112"/>
      <c r="AI26" s="112"/>
      <c r="AJ26" s="112"/>
      <c r="AK26" s="112"/>
      <c r="AL26" s="112"/>
      <c r="AM26" s="112"/>
      <c r="AN26" s="112"/>
      <c r="AO26" s="112"/>
      <c r="AP26" s="112"/>
      <c r="DI26" s="93">
        <v>21</v>
      </c>
      <c r="DK26" s="93">
        <v>21</v>
      </c>
    </row>
    <row r="27" spans="2:256" ht="15" customHeight="1" x14ac:dyDescent="0.3">
      <c r="B27" s="145" t="s">
        <v>186</v>
      </c>
      <c r="C27" s="145"/>
      <c r="D27" s="145"/>
      <c r="E27" s="145"/>
      <c r="F27" s="145"/>
      <c r="G27" s="305" t="s">
        <v>1351</v>
      </c>
      <c r="H27" s="305"/>
      <c r="I27" s="305"/>
      <c r="J27" s="305"/>
      <c r="K27" s="305"/>
      <c r="L27" s="305"/>
      <c r="M27" s="305"/>
      <c r="N27" s="305"/>
      <c r="O27" s="95"/>
      <c r="P27" s="95"/>
      <c r="Q27" s="95"/>
      <c r="R27" s="95"/>
      <c r="S27" s="95"/>
      <c r="T27" s="95"/>
      <c r="U27" s="95"/>
      <c r="V27" s="95"/>
      <c r="W27" s="95"/>
      <c r="X27" s="95"/>
      <c r="Y27" s="95"/>
      <c r="Z27" s="5"/>
      <c r="AI27" s="112"/>
      <c r="AJ27" s="112"/>
      <c r="AK27" s="112"/>
      <c r="AL27" s="112"/>
      <c r="AM27" s="112"/>
      <c r="AN27" s="112"/>
      <c r="AO27" s="112"/>
      <c r="AP27" s="112"/>
      <c r="DI27" s="93">
        <v>22</v>
      </c>
      <c r="DK27" s="93">
        <v>22</v>
      </c>
    </row>
    <row r="28" spans="2:256" ht="6" customHeight="1" x14ac:dyDescent="0.3">
      <c r="B28" s="28"/>
      <c r="C28" s="28"/>
      <c r="D28" s="28"/>
      <c r="E28" s="28"/>
      <c r="F28" s="28"/>
      <c r="G28" s="28"/>
      <c r="H28" s="28"/>
      <c r="I28" s="119"/>
      <c r="J28" s="119"/>
      <c r="K28" s="119"/>
      <c r="L28" s="119"/>
      <c r="M28" s="119"/>
      <c r="N28" s="119"/>
      <c r="O28" s="119"/>
      <c r="P28" s="119"/>
      <c r="Q28" s="119"/>
      <c r="R28" s="119"/>
      <c r="S28" s="119"/>
      <c r="T28" s="119"/>
      <c r="U28" s="119"/>
      <c r="V28" s="119"/>
      <c r="W28" s="119"/>
      <c r="X28" s="119"/>
      <c r="Y28" s="95"/>
      <c r="Z28" s="5"/>
      <c r="AA28" s="6"/>
      <c r="AB28" s="103"/>
      <c r="AC28" s="6"/>
      <c r="AD28" s="103"/>
      <c r="AE28" s="103"/>
      <c r="AF28" s="9"/>
      <c r="AG28" s="112"/>
      <c r="AH28" s="112"/>
      <c r="AI28" s="112"/>
      <c r="AJ28" s="112"/>
      <c r="AK28" s="112"/>
      <c r="AL28" s="112"/>
      <c r="AM28" s="112"/>
      <c r="AN28" s="112"/>
      <c r="AO28" s="112"/>
      <c r="AP28" s="112"/>
      <c r="DI28" s="93">
        <v>23</v>
      </c>
      <c r="DK28" s="93">
        <v>23</v>
      </c>
    </row>
    <row r="29" spans="2:256" ht="15" customHeight="1" x14ac:dyDescent="0.3">
      <c r="B29" s="161" t="s">
        <v>187</v>
      </c>
      <c r="C29" s="161"/>
      <c r="D29" s="161"/>
      <c r="E29" s="161"/>
      <c r="F29" s="95"/>
      <c r="G29" s="305" t="s">
        <v>0</v>
      </c>
      <c r="H29" s="305"/>
      <c r="I29" s="305"/>
      <c r="J29" s="305"/>
      <c r="K29" s="305"/>
      <c r="L29" s="305"/>
      <c r="M29" s="305"/>
      <c r="N29" s="305"/>
      <c r="O29" s="95"/>
      <c r="P29" s="95"/>
      <c r="Q29" s="119"/>
      <c r="R29" s="119"/>
      <c r="S29" s="119"/>
      <c r="T29" s="119"/>
      <c r="U29" s="95"/>
      <c r="V29" s="95"/>
      <c r="W29" s="95"/>
      <c r="X29" s="95"/>
      <c r="Y29" s="95"/>
      <c r="Z29" s="95"/>
      <c r="AC29" s="6"/>
      <c r="AD29" s="103"/>
      <c r="AE29" s="103"/>
      <c r="AF29" s="9"/>
      <c r="AG29" s="112"/>
      <c r="AH29" s="112"/>
      <c r="AI29" s="112"/>
      <c r="AJ29" s="112"/>
      <c r="AK29" s="112"/>
      <c r="AL29" s="112"/>
      <c r="AM29" s="112"/>
      <c r="AN29" s="112"/>
      <c r="AO29" s="112"/>
      <c r="AP29" s="112"/>
      <c r="DI29" s="93">
        <v>24</v>
      </c>
      <c r="DK29" s="93">
        <v>24</v>
      </c>
    </row>
    <row r="30" spans="2:256" ht="6" customHeight="1" x14ac:dyDescent="0.3">
      <c r="B30" s="142"/>
      <c r="C30" s="142"/>
      <c r="D30" s="142"/>
      <c r="E30" s="142"/>
      <c r="F30" s="142"/>
      <c r="G30" s="142"/>
      <c r="H30" s="142"/>
      <c r="I30" s="119"/>
      <c r="J30" s="119"/>
      <c r="K30" s="119"/>
      <c r="L30" s="119"/>
      <c r="M30" s="119"/>
      <c r="N30" s="119"/>
      <c r="O30" s="119"/>
      <c r="P30" s="119"/>
      <c r="Q30" s="119"/>
      <c r="R30" s="119"/>
      <c r="S30" s="119"/>
      <c r="T30" s="119"/>
      <c r="U30" s="95"/>
      <c r="V30" s="95"/>
      <c r="W30" s="95"/>
      <c r="X30" s="95"/>
      <c r="Y30" s="95"/>
      <c r="Z30" s="5"/>
      <c r="AA30" s="6"/>
      <c r="AB30" s="103"/>
      <c r="AC30" s="6"/>
      <c r="AD30" s="103"/>
      <c r="AE30" s="103"/>
      <c r="AF30" s="9"/>
      <c r="AG30" s="112"/>
      <c r="AH30" s="112"/>
      <c r="AI30" s="112"/>
      <c r="AJ30" s="112"/>
      <c r="AK30" s="112"/>
      <c r="AL30" s="112"/>
      <c r="AM30" s="112"/>
      <c r="AN30" s="112"/>
      <c r="AO30" s="112"/>
      <c r="AP30" s="112"/>
      <c r="DI30" s="93">
        <v>25</v>
      </c>
      <c r="DK30" s="93">
        <v>25</v>
      </c>
    </row>
    <row r="31" spans="2:256" x14ac:dyDescent="0.3">
      <c r="B31" s="161" t="s">
        <v>188</v>
      </c>
      <c r="C31" s="161"/>
      <c r="D31" s="161"/>
      <c r="E31" s="161"/>
      <c r="F31" s="161"/>
      <c r="G31" s="161"/>
      <c r="H31" s="161"/>
      <c r="I31" s="161"/>
      <c r="J31" s="161"/>
      <c r="K31" s="305" t="s">
        <v>0</v>
      </c>
      <c r="L31" s="305"/>
      <c r="M31" s="305"/>
      <c r="N31" s="305"/>
      <c r="O31" s="305"/>
      <c r="P31" s="305"/>
      <c r="Q31" s="305"/>
      <c r="R31" s="305"/>
      <c r="S31" s="95" t="e" vm="1">
        <v>#VALUE!</v>
      </c>
      <c r="T31" s="119"/>
      <c r="U31" s="95"/>
      <c r="V31" s="95"/>
      <c r="W31" s="95"/>
      <c r="X31" s="95"/>
      <c r="Y31" s="95"/>
      <c r="Z31" s="5"/>
      <c r="AA31" s="6"/>
      <c r="AB31" s="103"/>
      <c r="AC31" s="6"/>
      <c r="AD31" s="103"/>
      <c r="AE31" s="103"/>
      <c r="AF31" s="9"/>
      <c r="AG31" s="112"/>
      <c r="AH31" s="112"/>
      <c r="AI31" s="112"/>
      <c r="AJ31" s="112"/>
      <c r="AK31" s="112"/>
      <c r="AL31" s="112"/>
      <c r="AM31" s="112"/>
      <c r="AN31" s="112"/>
      <c r="AO31" s="112"/>
      <c r="AP31" s="112"/>
      <c r="DI31" s="93">
        <v>26</v>
      </c>
      <c r="DK31" s="93">
        <v>26</v>
      </c>
    </row>
    <row r="32" spans="2:256" ht="6" customHeight="1" x14ac:dyDescent="0.3">
      <c r="B32" s="142"/>
      <c r="C32" s="142"/>
      <c r="D32" s="142"/>
      <c r="E32" s="142"/>
      <c r="F32" s="142"/>
      <c r="G32" s="142"/>
      <c r="H32" s="142"/>
      <c r="I32" s="142"/>
      <c r="J32" s="142"/>
      <c r="K32" s="119"/>
      <c r="L32" s="119"/>
      <c r="M32" s="119"/>
      <c r="N32" s="119"/>
      <c r="O32" s="119"/>
      <c r="P32" s="95"/>
      <c r="Q32" s="95"/>
      <c r="R32" s="95"/>
      <c r="S32" s="119"/>
      <c r="T32" s="119"/>
      <c r="U32" s="95"/>
      <c r="V32" s="95"/>
      <c r="W32" s="95"/>
      <c r="X32" s="95"/>
      <c r="Y32" s="95"/>
      <c r="Z32" s="5"/>
      <c r="AA32" s="6"/>
      <c r="AB32" s="103"/>
      <c r="AC32" s="6"/>
      <c r="AD32" s="103"/>
      <c r="AE32" s="103"/>
      <c r="AF32" s="9"/>
      <c r="AG32" s="112"/>
      <c r="AH32" s="112"/>
      <c r="AI32" s="112"/>
      <c r="AJ32" s="112"/>
      <c r="AK32" s="112"/>
      <c r="AL32" s="112"/>
      <c r="AM32" s="112"/>
      <c r="AN32" s="112"/>
      <c r="AO32" s="112"/>
      <c r="AP32" s="112"/>
      <c r="DI32" s="93">
        <v>27</v>
      </c>
      <c r="DK32" s="93">
        <v>27</v>
      </c>
    </row>
    <row r="33" spans="2:115" x14ac:dyDescent="0.3">
      <c r="DI33" s="93">
        <v>28</v>
      </c>
      <c r="DK33" s="93">
        <v>28</v>
      </c>
    </row>
    <row r="34" spans="2:115" ht="2.25" customHeight="1" x14ac:dyDescent="0.3">
      <c r="B34" s="95"/>
      <c r="C34" s="95"/>
      <c r="D34" s="95"/>
      <c r="E34" s="95"/>
      <c r="F34" s="95"/>
      <c r="G34" s="95"/>
      <c r="H34" s="95"/>
      <c r="I34" s="119"/>
      <c r="J34" s="119"/>
      <c r="K34" s="119"/>
      <c r="M34" s="119"/>
      <c r="N34" s="119"/>
      <c r="O34" s="119"/>
      <c r="Q34" s="119"/>
      <c r="R34" s="119"/>
      <c r="S34" s="119"/>
      <c r="U34" s="119"/>
      <c r="V34" s="119"/>
      <c r="W34" s="119"/>
      <c r="X34" s="119"/>
      <c r="Y34" s="119"/>
      <c r="Z34" s="119"/>
      <c r="AA34" s="119"/>
      <c r="AB34" s="119"/>
      <c r="AD34" s="103"/>
      <c r="AE34" s="119"/>
      <c r="AF34" s="103"/>
      <c r="AG34" s="103"/>
      <c r="AH34" s="103"/>
      <c r="AI34" s="103"/>
      <c r="AJ34" s="103"/>
      <c r="AK34" s="103"/>
      <c r="AL34" s="103"/>
      <c r="AM34" s="103"/>
      <c r="AN34" s="8"/>
      <c r="AO34" s="8"/>
      <c r="AP34" s="8"/>
      <c r="AQ34" s="8"/>
      <c r="AR34" s="8"/>
      <c r="AS34" s="8"/>
      <c r="AT34" s="8"/>
      <c r="AU34" s="8"/>
      <c r="AV34" s="8"/>
      <c r="AW34" s="8"/>
      <c r="AX34" s="8"/>
    </row>
    <row r="35" spans="2:115" x14ac:dyDescent="0.3">
      <c r="B35" s="95" t="s">
        <v>199</v>
      </c>
      <c r="C35" s="95"/>
      <c r="D35" s="95"/>
      <c r="E35" s="95"/>
      <c r="F35" s="95"/>
      <c r="G35" s="95"/>
      <c r="H35" s="95"/>
      <c r="I35" s="305" t="s">
        <v>74</v>
      </c>
      <c r="J35" s="305"/>
      <c r="K35" s="305"/>
      <c r="M35" s="306" t="s">
        <v>57</v>
      </c>
      <c r="N35" s="306"/>
      <c r="O35" s="306"/>
      <c r="Q35" s="306"/>
      <c r="R35" s="306"/>
      <c r="S35" s="306"/>
      <c r="U35" s="305"/>
      <c r="V35" s="305"/>
      <c r="W35" s="305"/>
      <c r="X35" s="305"/>
      <c r="Y35" s="305"/>
      <c r="Z35" s="305"/>
      <c r="AA35" s="305"/>
      <c r="AB35" s="305"/>
      <c r="AC35" s="103"/>
      <c r="AD35" s="103"/>
      <c r="AE35" s="119"/>
      <c r="AF35" s="103"/>
      <c r="AG35" s="103"/>
      <c r="AH35" s="103"/>
      <c r="AI35" s="103"/>
      <c r="AJ35" s="103"/>
      <c r="AK35" s="103"/>
      <c r="AL35" s="103"/>
      <c r="AM35" s="103"/>
      <c r="AN35" s="8"/>
      <c r="AO35" s="8"/>
      <c r="AP35" s="8"/>
      <c r="AQ35" s="8"/>
      <c r="AR35" s="8"/>
      <c r="AS35" s="8"/>
      <c r="AT35" s="8"/>
      <c r="AU35" s="8"/>
      <c r="AV35" s="8"/>
      <c r="AW35" s="8"/>
      <c r="AX35" s="8"/>
    </row>
    <row r="36" spans="2:115" ht="0.75" customHeight="1" x14ac:dyDescent="0.3">
      <c r="B36" s="95"/>
      <c r="C36" s="95"/>
      <c r="D36" s="95"/>
      <c r="E36" s="95"/>
      <c r="F36" s="95"/>
      <c r="G36" s="95"/>
      <c r="H36" s="95"/>
      <c r="I36" s="119"/>
      <c r="K36" s="119"/>
      <c r="M36" s="119"/>
      <c r="N36" s="119"/>
      <c r="O36" s="119"/>
      <c r="Q36" s="119"/>
      <c r="R36" s="119"/>
      <c r="S36" s="119"/>
      <c r="U36" s="119"/>
      <c r="V36" s="119"/>
      <c r="W36" s="119"/>
      <c r="X36" s="119"/>
      <c r="Y36" s="119"/>
      <c r="Z36" s="119"/>
      <c r="AA36" s="119"/>
      <c r="AB36" s="119"/>
      <c r="AC36" s="103"/>
      <c r="AD36" s="103"/>
      <c r="AE36" s="119"/>
      <c r="AF36" s="103"/>
      <c r="AG36" s="103"/>
      <c r="AH36" s="103"/>
      <c r="AI36" s="103"/>
      <c r="AJ36" s="103"/>
      <c r="AK36" s="103"/>
      <c r="AL36" s="103"/>
      <c r="AM36" s="103"/>
      <c r="AN36" s="8"/>
      <c r="AO36" s="8"/>
      <c r="AP36" s="8"/>
      <c r="AQ36" s="8"/>
      <c r="AR36" s="8"/>
      <c r="AS36" s="8"/>
      <c r="AT36" s="8"/>
      <c r="AU36" s="8"/>
      <c r="AV36" s="8"/>
      <c r="AW36" s="8"/>
      <c r="AX36" s="8"/>
    </row>
    <row r="37" spans="2:115" x14ac:dyDescent="0.3">
      <c r="B37" s="95" t="s">
        <v>200</v>
      </c>
      <c r="C37" s="95"/>
      <c r="D37" s="95"/>
      <c r="E37" s="95"/>
      <c r="F37" s="95"/>
      <c r="G37" s="95"/>
      <c r="H37" s="95"/>
      <c r="I37" s="305" t="s">
        <v>74</v>
      </c>
      <c r="J37" s="305"/>
      <c r="K37" s="305"/>
      <c r="M37" s="306" t="s">
        <v>57</v>
      </c>
      <c r="N37" s="306"/>
      <c r="O37" s="306"/>
      <c r="Q37" s="306"/>
      <c r="R37" s="306"/>
      <c r="S37" s="306"/>
      <c r="U37" s="305"/>
      <c r="V37" s="305"/>
      <c r="W37" s="305"/>
      <c r="X37" s="305"/>
      <c r="Y37" s="305"/>
      <c r="Z37" s="305"/>
      <c r="AA37" s="305"/>
      <c r="AB37" s="305"/>
      <c r="AC37" s="103"/>
      <c r="AD37" s="103"/>
      <c r="AE37" s="119"/>
      <c r="AF37" s="103"/>
      <c r="AG37" s="103"/>
      <c r="AH37" s="103"/>
      <c r="AI37" s="103"/>
      <c r="AJ37" s="103"/>
      <c r="AK37" s="103"/>
      <c r="AL37" s="103"/>
      <c r="AM37" s="103"/>
      <c r="AN37" s="8"/>
      <c r="AO37" s="8"/>
      <c r="AP37" s="8"/>
      <c r="AQ37" s="8"/>
      <c r="AR37" s="8"/>
      <c r="AS37" s="8"/>
      <c r="AT37" s="8"/>
      <c r="AU37" s="8"/>
      <c r="AV37" s="8"/>
      <c r="AW37" s="8"/>
      <c r="AX37" s="8"/>
    </row>
    <row r="38" spans="2:115" x14ac:dyDescent="0.3">
      <c r="B38" s="95" t="s">
        <v>201</v>
      </c>
      <c r="C38" s="95"/>
      <c r="D38" s="95"/>
      <c r="E38" s="95"/>
      <c r="F38" s="95"/>
      <c r="G38" s="95"/>
      <c r="H38" s="95"/>
      <c r="I38" s="305" t="s">
        <v>74</v>
      </c>
      <c r="J38" s="305"/>
      <c r="K38" s="305"/>
      <c r="M38" s="306" t="s">
        <v>57</v>
      </c>
      <c r="N38" s="306"/>
      <c r="O38" s="306"/>
      <c r="Q38" s="306"/>
      <c r="R38" s="306"/>
      <c r="S38" s="306"/>
      <c r="U38" s="305"/>
      <c r="V38" s="305"/>
      <c r="W38" s="305"/>
      <c r="X38" s="305"/>
      <c r="Y38" s="305"/>
      <c r="Z38" s="305"/>
      <c r="AA38" s="305"/>
      <c r="AB38" s="305"/>
      <c r="AC38" s="103"/>
      <c r="AD38" s="103"/>
      <c r="AE38" s="119"/>
      <c r="AF38" s="103"/>
      <c r="AG38" s="103"/>
      <c r="AH38" s="103"/>
      <c r="AI38" s="103"/>
      <c r="AJ38" s="103"/>
      <c r="AK38" s="103"/>
      <c r="AL38" s="103"/>
      <c r="AM38" s="103"/>
      <c r="AN38" s="8"/>
      <c r="AO38" s="8"/>
      <c r="AP38" s="8"/>
      <c r="AQ38" s="8"/>
      <c r="AR38" s="8"/>
      <c r="AS38" s="8"/>
      <c r="AT38" s="8"/>
      <c r="AU38" s="8"/>
      <c r="AV38" s="8"/>
      <c r="AW38" s="8"/>
      <c r="AX38" s="8"/>
    </row>
    <row r="39" spans="2:115" x14ac:dyDescent="0.3">
      <c r="B39" s="95" t="s">
        <v>202</v>
      </c>
      <c r="C39" s="95"/>
      <c r="D39" s="95"/>
      <c r="E39" s="95"/>
      <c r="F39" s="95"/>
      <c r="G39" s="95"/>
      <c r="H39" s="95"/>
      <c r="I39" s="305" t="s">
        <v>74</v>
      </c>
      <c r="J39" s="305"/>
      <c r="K39" s="305"/>
      <c r="M39" s="306" t="s">
        <v>57</v>
      </c>
      <c r="N39" s="306"/>
      <c r="O39" s="306"/>
      <c r="Q39" s="306"/>
      <c r="R39" s="306"/>
      <c r="S39" s="306"/>
      <c r="U39" s="305"/>
      <c r="V39" s="305"/>
      <c r="W39" s="305"/>
      <c r="X39" s="305"/>
      <c r="Y39" s="305"/>
      <c r="Z39" s="305"/>
      <c r="AA39" s="305"/>
      <c r="AB39" s="305"/>
      <c r="AC39" s="103"/>
      <c r="AD39" s="103"/>
      <c r="AE39" s="119"/>
      <c r="AF39" s="103"/>
      <c r="AG39" s="103"/>
      <c r="AH39" s="103"/>
      <c r="AI39" s="103"/>
      <c r="AJ39" s="103"/>
      <c r="AK39" s="103"/>
      <c r="AL39" s="103"/>
      <c r="AM39" s="103"/>
      <c r="AN39" s="8"/>
      <c r="AO39" s="8"/>
      <c r="AP39" s="8"/>
      <c r="AQ39" s="8"/>
      <c r="AR39" s="8"/>
      <c r="AS39" s="8"/>
      <c r="AT39" s="8"/>
      <c r="AU39" s="8"/>
      <c r="AV39" s="8"/>
      <c r="AW39" s="8"/>
      <c r="AX39" s="8"/>
    </row>
    <row r="40" spans="2:115" x14ac:dyDescent="0.3">
      <c r="B40" s="95" t="s">
        <v>203</v>
      </c>
      <c r="C40" s="95"/>
      <c r="D40" s="95"/>
      <c r="E40" s="95"/>
      <c r="F40" s="95"/>
      <c r="G40" s="95"/>
      <c r="H40" s="95"/>
      <c r="I40" s="305" t="s">
        <v>74</v>
      </c>
      <c r="J40" s="305"/>
      <c r="K40" s="305"/>
      <c r="M40" s="306" t="s">
        <v>57</v>
      </c>
      <c r="N40" s="306"/>
      <c r="O40" s="306"/>
      <c r="Q40" s="306"/>
      <c r="R40" s="306"/>
      <c r="S40" s="306"/>
      <c r="U40" s="305"/>
      <c r="V40" s="305"/>
      <c r="W40" s="305"/>
      <c r="X40" s="305"/>
      <c r="Y40" s="305"/>
      <c r="Z40" s="305"/>
      <c r="AA40" s="305"/>
      <c r="AB40" s="305"/>
      <c r="AC40" s="103"/>
      <c r="AD40" s="103"/>
      <c r="AE40" s="119"/>
      <c r="AF40" s="103"/>
      <c r="AG40" s="103"/>
      <c r="AH40" s="103"/>
      <c r="AI40" s="103"/>
      <c r="AJ40" s="103"/>
      <c r="AK40" s="103"/>
      <c r="AL40" s="103"/>
      <c r="AM40" s="103"/>
      <c r="AN40" s="8"/>
      <c r="AO40" s="8"/>
      <c r="AP40" s="8"/>
      <c r="AQ40" s="8"/>
      <c r="AR40" s="8"/>
      <c r="AS40" s="8"/>
      <c r="AT40" s="8"/>
      <c r="AU40" s="8"/>
      <c r="AV40" s="8"/>
      <c r="AW40" s="8"/>
      <c r="AX40" s="8"/>
    </row>
    <row r="41" spans="2:115" ht="7.5" customHeight="1" x14ac:dyDescent="0.3">
      <c r="B41" s="95"/>
      <c r="C41" s="95"/>
      <c r="D41" s="95"/>
      <c r="E41" s="95"/>
      <c r="F41" s="95"/>
      <c r="G41" s="95"/>
      <c r="H41" s="95"/>
      <c r="I41" s="119"/>
      <c r="J41" s="119"/>
      <c r="K41" s="119"/>
      <c r="M41" s="119"/>
      <c r="N41" s="119"/>
      <c r="O41" s="119"/>
      <c r="Q41" s="119"/>
      <c r="R41" s="119"/>
      <c r="S41" s="119"/>
      <c r="U41" s="119"/>
      <c r="V41" s="119"/>
      <c r="W41" s="119"/>
      <c r="X41" s="119"/>
      <c r="Y41" s="119"/>
      <c r="Z41" s="119"/>
      <c r="AA41" s="119"/>
      <c r="AB41" s="119"/>
      <c r="AC41" s="103"/>
      <c r="AD41" s="103"/>
      <c r="AE41" s="119"/>
      <c r="AF41" s="103"/>
      <c r="AG41" s="103"/>
      <c r="AH41" s="103"/>
      <c r="AI41" s="103"/>
      <c r="AJ41" s="103"/>
      <c r="AK41" s="103"/>
      <c r="AL41" s="103"/>
      <c r="AM41" s="103"/>
      <c r="AN41" s="8"/>
      <c r="AO41" s="8"/>
      <c r="AP41" s="8"/>
      <c r="AQ41" s="8"/>
      <c r="AR41" s="8"/>
      <c r="AS41" s="8"/>
      <c r="AT41" s="8"/>
      <c r="AU41" s="8"/>
      <c r="AV41" s="8"/>
      <c r="AW41" s="8"/>
      <c r="AX41" s="8"/>
    </row>
    <row r="42" spans="2:115" x14ac:dyDescent="0.3">
      <c r="B42" s="95" t="s">
        <v>204</v>
      </c>
      <c r="C42" s="95"/>
      <c r="D42" s="95"/>
      <c r="E42" s="95"/>
      <c r="F42" s="95"/>
      <c r="G42" s="95"/>
      <c r="H42" s="95"/>
      <c r="I42" s="305" t="s">
        <v>74</v>
      </c>
      <c r="J42" s="305"/>
      <c r="K42" s="305"/>
      <c r="M42" s="306" t="s">
        <v>57</v>
      </c>
      <c r="N42" s="306"/>
      <c r="O42" s="306"/>
      <c r="Q42" s="306"/>
      <c r="R42" s="306"/>
      <c r="S42" s="306"/>
      <c r="U42" s="305"/>
      <c r="V42" s="305"/>
      <c r="W42" s="305"/>
      <c r="X42" s="305"/>
      <c r="Y42" s="305"/>
      <c r="Z42" s="305"/>
      <c r="AA42" s="305"/>
      <c r="AB42" s="305"/>
      <c r="AC42" s="103"/>
      <c r="AD42" s="103"/>
      <c r="AE42" s="119"/>
      <c r="AF42" s="103"/>
      <c r="AG42" s="103"/>
      <c r="AH42" s="103"/>
      <c r="AI42" s="103"/>
      <c r="AJ42" s="103"/>
      <c r="AK42" s="103"/>
      <c r="AL42" s="103"/>
      <c r="AM42" s="103"/>
      <c r="AN42" s="8"/>
      <c r="AO42" s="8"/>
      <c r="AP42" s="8"/>
      <c r="AQ42" s="8"/>
      <c r="AR42" s="8"/>
      <c r="AS42" s="8"/>
      <c r="AT42" s="8"/>
      <c r="AU42" s="8"/>
      <c r="AV42" s="8"/>
      <c r="AW42" s="8"/>
      <c r="AX42" s="8"/>
    </row>
    <row r="43" spans="2:115" x14ac:dyDescent="0.3">
      <c r="B43" s="95" t="s">
        <v>205</v>
      </c>
      <c r="C43" s="95"/>
      <c r="D43" s="95"/>
      <c r="E43" s="95"/>
      <c r="F43" s="95"/>
      <c r="G43" s="95"/>
      <c r="H43" s="95"/>
      <c r="I43" s="305" t="s">
        <v>74</v>
      </c>
      <c r="J43" s="305"/>
      <c r="K43" s="305"/>
      <c r="M43" s="306" t="s">
        <v>57</v>
      </c>
      <c r="N43" s="306"/>
      <c r="O43" s="306"/>
      <c r="Q43" s="306"/>
      <c r="R43" s="306"/>
      <c r="S43" s="306"/>
      <c r="U43" s="305"/>
      <c r="V43" s="305"/>
      <c r="W43" s="305"/>
      <c r="X43" s="305"/>
      <c r="Y43" s="305"/>
      <c r="Z43" s="305"/>
      <c r="AA43" s="305"/>
      <c r="AB43" s="305"/>
      <c r="AC43" s="103"/>
      <c r="AD43" s="103"/>
      <c r="AE43" s="119"/>
      <c r="AF43" s="103"/>
      <c r="AG43" s="103"/>
      <c r="AH43" s="103"/>
      <c r="AI43" s="103"/>
      <c r="AJ43" s="103"/>
      <c r="AK43" s="103"/>
      <c r="AL43" s="103"/>
      <c r="AM43" s="103"/>
      <c r="AN43" s="8"/>
      <c r="AO43" s="8"/>
      <c r="AP43" s="8"/>
      <c r="AQ43" s="8"/>
      <c r="AR43" s="8"/>
      <c r="AS43" s="8"/>
      <c r="AT43" s="8"/>
      <c r="AU43" s="8"/>
      <c r="AV43" s="8"/>
      <c r="AW43" s="8"/>
      <c r="AX43" s="8"/>
    </row>
    <row r="44" spans="2:115" x14ac:dyDescent="0.3">
      <c r="B44" s="95" t="s">
        <v>206</v>
      </c>
      <c r="C44" s="95"/>
      <c r="D44" s="95"/>
      <c r="E44" s="95"/>
      <c r="F44" s="95"/>
      <c r="G44" s="95"/>
      <c r="H44" s="95"/>
      <c r="I44" s="305" t="s">
        <v>74</v>
      </c>
      <c r="J44" s="305"/>
      <c r="K44" s="305"/>
      <c r="M44" s="306" t="s">
        <v>57</v>
      </c>
      <c r="N44" s="306"/>
      <c r="O44" s="306"/>
      <c r="Q44" s="306"/>
      <c r="R44" s="306"/>
      <c r="S44" s="306"/>
      <c r="U44" s="305"/>
      <c r="V44" s="305"/>
      <c r="W44" s="305"/>
      <c r="X44" s="305"/>
      <c r="Y44" s="305"/>
      <c r="Z44" s="305"/>
      <c r="AA44" s="305"/>
      <c r="AB44" s="305"/>
      <c r="AC44" s="103"/>
      <c r="AD44" s="103"/>
      <c r="AE44" s="119"/>
      <c r="AF44" s="103"/>
      <c r="AG44" s="103"/>
      <c r="AH44" s="103"/>
      <c r="AI44" s="103"/>
      <c r="AJ44" s="103"/>
      <c r="AK44" s="103"/>
      <c r="AL44" s="103"/>
      <c r="AM44" s="103"/>
      <c r="AN44" s="8"/>
      <c r="AO44" s="8"/>
      <c r="AP44" s="8"/>
      <c r="AQ44" s="8"/>
      <c r="AR44" s="8"/>
      <c r="AS44" s="8"/>
      <c r="AT44" s="8"/>
      <c r="AU44" s="8"/>
      <c r="AV44" s="8"/>
      <c r="AW44" s="8"/>
      <c r="AX44" s="8"/>
    </row>
    <row r="45" spans="2:115" x14ac:dyDescent="0.3">
      <c r="B45" s="95" t="s">
        <v>207</v>
      </c>
      <c r="C45" s="95"/>
      <c r="D45" s="95"/>
      <c r="E45" s="95"/>
      <c r="F45" s="95"/>
      <c r="G45" s="95"/>
      <c r="H45" s="95"/>
      <c r="I45" s="305" t="s">
        <v>74</v>
      </c>
      <c r="J45" s="305"/>
      <c r="K45" s="305"/>
      <c r="M45" s="307" t="s">
        <v>57</v>
      </c>
      <c r="N45" s="307"/>
      <c r="O45" s="307"/>
      <c r="Q45" s="306"/>
      <c r="R45" s="306"/>
      <c r="S45" s="306"/>
      <c r="U45" s="308"/>
      <c r="V45" s="308"/>
      <c r="W45" s="308"/>
      <c r="X45" s="308"/>
      <c r="Y45" s="308"/>
      <c r="Z45" s="308"/>
      <c r="AA45" s="308"/>
      <c r="AB45" s="308"/>
      <c r="AC45" s="103"/>
      <c r="AD45" s="103"/>
      <c r="AE45" s="119"/>
      <c r="AF45" s="103"/>
      <c r="AG45" s="103"/>
      <c r="AH45" s="103"/>
      <c r="AI45" s="103"/>
      <c r="AJ45" s="103"/>
      <c r="AK45" s="103"/>
      <c r="AL45" s="103"/>
      <c r="AM45" s="103"/>
      <c r="AN45" s="8"/>
      <c r="AO45" s="8"/>
      <c r="AP45" s="8"/>
      <c r="AQ45" s="8"/>
      <c r="AR45" s="8"/>
      <c r="AS45" s="8"/>
      <c r="AT45" s="8"/>
      <c r="AU45" s="8"/>
      <c r="AV45" s="8"/>
      <c r="AW45" s="8"/>
      <c r="AX45" s="8"/>
    </row>
    <row r="46" spans="2:115" ht="6" customHeight="1" x14ac:dyDescent="0.3">
      <c r="B46" s="142"/>
      <c r="C46" s="142"/>
      <c r="D46" s="142"/>
      <c r="E46" s="142"/>
      <c r="F46" s="142"/>
      <c r="G46" s="142"/>
      <c r="H46" s="142"/>
      <c r="I46" s="142"/>
      <c r="J46" s="142"/>
      <c r="K46" s="119"/>
      <c r="L46" s="119"/>
      <c r="M46" s="119"/>
      <c r="N46" s="119"/>
      <c r="O46" s="119"/>
      <c r="P46" s="95"/>
      <c r="Q46" s="95"/>
      <c r="R46" s="95"/>
      <c r="S46" s="119"/>
      <c r="T46" s="119"/>
      <c r="U46" s="95"/>
      <c r="V46" s="95"/>
      <c r="W46" s="95"/>
      <c r="X46" s="95"/>
      <c r="Y46" s="95"/>
      <c r="Z46" s="5"/>
      <c r="AA46" s="6"/>
      <c r="AB46" s="103"/>
      <c r="AC46" s="6"/>
      <c r="AD46" s="103"/>
      <c r="AE46" s="103"/>
      <c r="AF46" s="9"/>
      <c r="AG46" s="112"/>
      <c r="AH46" s="112"/>
      <c r="AI46" s="112"/>
      <c r="AJ46" s="112"/>
      <c r="AK46" s="112"/>
      <c r="AL46" s="112"/>
      <c r="AM46" s="112"/>
      <c r="AN46" s="112"/>
      <c r="AO46" s="112"/>
      <c r="AP46" s="112"/>
    </row>
    <row r="47" spans="2:115" ht="6" customHeight="1" x14ac:dyDescent="0.3">
      <c r="B47" s="142"/>
      <c r="C47" s="142"/>
      <c r="D47" s="142"/>
      <c r="E47" s="142"/>
      <c r="F47" s="142"/>
      <c r="G47" s="142"/>
      <c r="H47" s="142"/>
      <c r="I47" s="142"/>
      <c r="J47" s="142"/>
      <c r="K47" s="119"/>
      <c r="L47" s="119"/>
      <c r="M47" s="119"/>
      <c r="N47" s="119"/>
      <c r="O47" s="119"/>
      <c r="P47" s="95"/>
      <c r="Q47" s="95"/>
      <c r="R47" s="95"/>
      <c r="S47" s="119"/>
      <c r="T47" s="119"/>
      <c r="U47" s="95"/>
      <c r="V47" s="95"/>
      <c r="W47" s="95"/>
      <c r="X47" s="95"/>
      <c r="Y47" s="95"/>
      <c r="Z47" s="5"/>
      <c r="AA47" s="6"/>
      <c r="AB47" s="103"/>
      <c r="AC47" s="6"/>
      <c r="AD47" s="103"/>
      <c r="AE47" s="103"/>
      <c r="AF47" s="9"/>
      <c r="AG47" s="112"/>
      <c r="AH47" s="112"/>
      <c r="AI47" s="112"/>
      <c r="AJ47" s="112"/>
      <c r="AK47" s="112"/>
      <c r="AL47" s="112"/>
      <c r="AM47" s="112"/>
      <c r="AN47" s="112"/>
      <c r="AO47" s="112"/>
      <c r="AP47" s="112"/>
    </row>
    <row r="48" spans="2:115" ht="15" customHeight="1" x14ac:dyDescent="0.3">
      <c r="B48" s="145" t="s">
        <v>189</v>
      </c>
      <c r="C48" s="145"/>
      <c r="D48" s="145"/>
      <c r="E48" s="145"/>
      <c r="F48" s="145"/>
      <c r="G48" s="145"/>
      <c r="H48" s="145"/>
      <c r="I48" s="145"/>
      <c r="J48" s="145"/>
      <c r="K48" s="305" t="s">
        <v>36</v>
      </c>
      <c r="L48" s="305"/>
      <c r="M48" s="305"/>
      <c r="N48" s="305"/>
      <c r="O48" s="305"/>
      <c r="P48" s="305"/>
      <c r="Q48" s="305"/>
      <c r="R48" s="305"/>
      <c r="S48" s="120"/>
      <c r="T48" s="95"/>
      <c r="U48" s="95"/>
      <c r="V48" s="95"/>
      <c r="W48" s="95"/>
      <c r="X48" s="95"/>
      <c r="Y48" s="95"/>
      <c r="Z48" s="95"/>
      <c r="AB48" s="93"/>
      <c r="AI48" s="112"/>
      <c r="AJ48" s="112"/>
      <c r="AK48" s="112"/>
      <c r="AL48" s="112"/>
      <c r="AM48" s="112"/>
      <c r="AN48" s="112"/>
      <c r="AO48" s="112"/>
      <c r="AP48" s="112"/>
    </row>
    <row r="49" spans="2:50 16384:16384" ht="15" customHeight="1" x14ac:dyDescent="0.3">
      <c r="B49" s="28"/>
      <c r="C49" s="28"/>
      <c r="D49" s="28"/>
      <c r="E49" s="28"/>
      <c r="F49" s="28"/>
      <c r="G49" s="28"/>
      <c r="H49" s="28"/>
      <c r="I49" s="28"/>
      <c r="J49" s="28"/>
      <c r="K49" s="28"/>
      <c r="L49" s="28"/>
      <c r="M49" s="28"/>
      <c r="N49" s="28"/>
      <c r="O49" s="28"/>
      <c r="P49" s="28"/>
      <c r="Q49" s="28"/>
      <c r="R49" s="28"/>
      <c r="S49" s="28"/>
      <c r="T49" s="28"/>
      <c r="U49" s="28"/>
      <c r="V49" s="28"/>
      <c r="W49" s="95"/>
      <c r="X49" s="95"/>
      <c r="Y49" s="95"/>
      <c r="Z49" s="95"/>
      <c r="AB49" s="93"/>
      <c r="AI49" s="112"/>
      <c r="AJ49" s="112"/>
      <c r="AK49" s="112"/>
      <c r="AL49" s="112"/>
      <c r="AM49" s="112"/>
      <c r="AN49" s="112"/>
      <c r="AO49" s="112"/>
      <c r="AP49" s="112"/>
    </row>
    <row r="50" spans="2:50 16384:16384" ht="15" customHeight="1" x14ac:dyDescent="0.3">
      <c r="B50" s="95" t="s">
        <v>198</v>
      </c>
      <c r="C50" s="95"/>
      <c r="D50" s="95"/>
      <c r="E50" s="95"/>
      <c r="F50" s="95"/>
      <c r="G50" s="95"/>
      <c r="H50" s="95"/>
      <c r="I50" s="309" t="s">
        <v>63</v>
      </c>
      <c r="J50" s="309"/>
      <c r="K50" s="309"/>
      <c r="M50" s="306" t="s">
        <v>57</v>
      </c>
      <c r="N50" s="306"/>
      <c r="O50" s="306"/>
      <c r="Q50" s="306"/>
      <c r="R50" s="306"/>
      <c r="S50" s="306"/>
      <c r="U50" s="310"/>
      <c r="V50" s="310"/>
      <c r="W50" s="310"/>
      <c r="X50" s="310"/>
      <c r="Y50" s="310"/>
      <c r="Z50" s="310"/>
      <c r="AA50" s="310"/>
      <c r="AB50" s="310"/>
      <c r="AD50" s="103"/>
      <c r="AE50" s="119"/>
      <c r="AF50" s="103"/>
      <c r="AG50" s="103"/>
      <c r="AH50" s="103"/>
      <c r="AI50" s="103"/>
      <c r="AJ50" s="103"/>
      <c r="AK50" s="103"/>
      <c r="AL50" s="103"/>
      <c r="AM50" s="103"/>
      <c r="AN50" s="8"/>
      <c r="AO50" s="8"/>
      <c r="AP50" s="8"/>
      <c r="AQ50" s="8"/>
      <c r="AR50" s="8"/>
      <c r="AS50" s="8"/>
      <c r="AT50" s="8"/>
      <c r="AU50" s="8"/>
      <c r="AV50" s="8"/>
      <c r="AW50" s="8"/>
      <c r="AX50" s="8"/>
    </row>
    <row r="51" spans="2:50 16384:16384" x14ac:dyDescent="0.3">
      <c r="D51" s="107"/>
      <c r="E51" s="107"/>
      <c r="F51" s="107"/>
      <c r="G51" s="5"/>
      <c r="H51" s="5"/>
      <c r="I51" s="5"/>
      <c r="J51" s="107"/>
      <c r="R51" s="107"/>
      <c r="Z51" s="5"/>
      <c r="AA51" s="6"/>
      <c r="AB51" s="103"/>
      <c r="AC51" s="6"/>
      <c r="AD51" s="103"/>
      <c r="AE51" s="103"/>
      <c r="AF51" s="103"/>
      <c r="AG51" s="103"/>
      <c r="AH51" s="103"/>
      <c r="AI51" s="103"/>
      <c r="AJ51" s="103"/>
      <c r="AK51" s="103"/>
      <c r="AL51" s="103"/>
      <c r="AM51" s="103"/>
      <c r="AN51" s="112"/>
      <c r="AO51" s="112"/>
      <c r="AP51" s="112"/>
      <c r="AQ51" s="112"/>
      <c r="AR51" s="112"/>
      <c r="AS51" s="112"/>
      <c r="AT51" s="112"/>
      <c r="AU51" s="112"/>
      <c r="AV51" s="112"/>
      <c r="AW51" s="112"/>
      <c r="AX51" s="112"/>
    </row>
    <row r="52" spans="2:50 16384:16384" s="103" customFormat="1" ht="15" customHeight="1" x14ac:dyDescent="0.3">
      <c r="B52" s="154" t="s">
        <v>52</v>
      </c>
      <c r="C52" s="154"/>
      <c r="D52" s="154"/>
      <c r="E52" s="154"/>
      <c r="F52" s="154"/>
      <c r="G52" s="154"/>
      <c r="H52" s="154"/>
      <c r="I52" s="154"/>
      <c r="J52" s="154"/>
      <c r="K52" s="154"/>
      <c r="L52" s="154"/>
      <c r="M52" s="154"/>
      <c r="N52" s="154"/>
      <c r="O52" s="154"/>
      <c r="P52" s="154"/>
      <c r="Q52" s="154"/>
      <c r="R52" s="154"/>
      <c r="S52" s="154"/>
      <c r="T52" s="154"/>
      <c r="U52" s="154"/>
      <c r="V52" s="154"/>
      <c r="W52" s="154"/>
      <c r="X52" s="154"/>
      <c r="Y52" s="154"/>
      <c r="Z52" s="154"/>
      <c r="AA52" s="154"/>
      <c r="AB52" s="154"/>
      <c r="AC52" s="154"/>
      <c r="AN52" s="112"/>
      <c r="AO52" s="112"/>
      <c r="AP52" s="112"/>
      <c r="AQ52" s="112"/>
      <c r="AR52" s="112"/>
      <c r="AS52" s="112"/>
      <c r="AT52" s="112"/>
      <c r="AU52" s="112"/>
      <c r="AV52" s="112"/>
      <c r="AW52" s="112"/>
      <c r="AX52" s="112"/>
    </row>
    <row r="53" spans="2:50 16384:16384" ht="36.75" customHeight="1" x14ac:dyDescent="0.3">
      <c r="B53" s="153" t="s">
        <v>53</v>
      </c>
      <c r="C53" s="153"/>
      <c r="D53" s="153"/>
      <c r="E53" s="95"/>
      <c r="F53" s="95"/>
      <c r="G53" s="95"/>
      <c r="I53" s="311" t="s">
        <v>54</v>
      </c>
      <c r="J53" s="311"/>
      <c r="K53" s="311"/>
      <c r="M53" s="311" t="s">
        <v>55</v>
      </c>
      <c r="N53" s="311"/>
      <c r="O53" s="311"/>
      <c r="Q53" s="311" t="s">
        <v>56</v>
      </c>
      <c r="R53" s="311"/>
      <c r="S53" s="311"/>
      <c r="U53" s="153" t="s">
        <v>33</v>
      </c>
      <c r="V53" s="153"/>
      <c r="W53" s="153"/>
      <c r="X53" s="153"/>
      <c r="Y53" s="153"/>
      <c r="Z53" s="153"/>
      <c r="AA53" s="153"/>
      <c r="AB53" s="153"/>
      <c r="AE53" s="103"/>
      <c r="AP53" s="312"/>
      <c r="AQ53" s="112"/>
      <c r="AR53" s="112"/>
      <c r="AS53" s="112"/>
      <c r="AT53" s="112"/>
      <c r="AU53" s="112"/>
      <c r="AV53" s="112"/>
      <c r="AW53" s="112"/>
      <c r="AX53" s="112"/>
    </row>
    <row r="54" spans="2:50 16384:16384" ht="15" customHeight="1" x14ac:dyDescent="0.3">
      <c r="B54" s="95" t="s">
        <v>190</v>
      </c>
      <c r="C54" s="95"/>
      <c r="D54" s="95"/>
      <c r="E54" s="95"/>
      <c r="F54" s="95"/>
      <c r="G54" s="95"/>
      <c r="H54" s="95"/>
      <c r="I54" s="305" t="s">
        <v>0</v>
      </c>
      <c r="J54" s="305"/>
      <c r="K54" s="305"/>
      <c r="M54" s="306" t="s">
        <v>57</v>
      </c>
      <c r="N54" s="306"/>
      <c r="O54" s="306"/>
      <c r="P54" s="105"/>
      <c r="Q54" s="305"/>
      <c r="R54" s="305"/>
      <c r="S54" s="305"/>
      <c r="U54" s="305"/>
      <c r="V54" s="305"/>
      <c r="W54" s="305"/>
      <c r="X54" s="305"/>
      <c r="Y54" s="305"/>
      <c r="Z54" s="305"/>
      <c r="AA54" s="305"/>
      <c r="AB54" s="305"/>
      <c r="AP54" s="112"/>
      <c r="AQ54" s="112"/>
      <c r="AR54" s="112"/>
      <c r="AS54" s="112"/>
      <c r="AT54" s="112"/>
      <c r="AU54" s="112"/>
      <c r="AV54" s="112"/>
      <c r="AW54" s="112"/>
      <c r="AX54" s="112"/>
    </row>
    <row r="55" spans="2:50 16384:16384" ht="15" customHeight="1" x14ac:dyDescent="0.3">
      <c r="B55" s="95" t="s">
        <v>191</v>
      </c>
      <c r="C55" s="95"/>
      <c r="D55" s="95"/>
      <c r="E55" s="95"/>
      <c r="F55" s="95"/>
      <c r="G55" s="95"/>
      <c r="H55" s="95"/>
      <c r="I55" s="308" t="s">
        <v>0</v>
      </c>
      <c r="J55" s="308"/>
      <c r="K55" s="308"/>
      <c r="M55" s="306" t="s">
        <v>57</v>
      </c>
      <c r="N55" s="306"/>
      <c r="O55" s="306"/>
      <c r="P55" s="105"/>
      <c r="Q55" s="305"/>
      <c r="R55" s="305"/>
      <c r="S55" s="305"/>
      <c r="U55" s="308"/>
      <c r="V55" s="308"/>
      <c r="W55" s="308"/>
      <c r="X55" s="308"/>
      <c r="Y55" s="308"/>
      <c r="Z55" s="308"/>
      <c r="AA55" s="308"/>
      <c r="AB55" s="308"/>
      <c r="AP55" s="112"/>
      <c r="AQ55" s="112"/>
      <c r="AR55" s="112"/>
      <c r="AS55" s="112"/>
      <c r="AT55" s="112"/>
      <c r="AU55" s="112"/>
      <c r="AV55" s="112"/>
      <c r="AW55" s="112"/>
      <c r="AX55" s="112"/>
    </row>
    <row r="56" spans="2:50 16384:16384" ht="15" customHeight="1" x14ac:dyDescent="0.3">
      <c r="B56" s="95" t="s">
        <v>192</v>
      </c>
      <c r="C56" s="95"/>
      <c r="D56" s="95"/>
      <c r="E56" s="95"/>
      <c r="F56" s="95"/>
      <c r="G56" s="95"/>
      <c r="H56" s="95"/>
      <c r="I56" s="308" t="s">
        <v>0</v>
      </c>
      <c r="J56" s="308"/>
      <c r="K56" s="308"/>
      <c r="M56" s="306" t="s">
        <v>57</v>
      </c>
      <c r="N56" s="306"/>
      <c r="O56" s="306"/>
      <c r="P56" s="105"/>
      <c r="Q56" s="305"/>
      <c r="R56" s="305"/>
      <c r="S56" s="305"/>
      <c r="U56" s="308"/>
      <c r="V56" s="308"/>
      <c r="W56" s="308"/>
      <c r="X56" s="308"/>
      <c r="Y56" s="308"/>
      <c r="Z56" s="308"/>
      <c r="AA56" s="308"/>
      <c r="AB56" s="308"/>
      <c r="AP56" s="112"/>
      <c r="AQ56" s="112"/>
      <c r="AR56" s="112"/>
      <c r="AS56" s="112"/>
      <c r="AT56" s="112"/>
      <c r="AU56" s="112"/>
      <c r="AV56" s="112"/>
      <c r="AW56" s="112"/>
      <c r="AX56" s="112"/>
    </row>
    <row r="57" spans="2:50 16384:16384" ht="15" customHeight="1" x14ac:dyDescent="0.3">
      <c r="B57" s="95" t="s">
        <v>193</v>
      </c>
      <c r="C57" s="95"/>
      <c r="D57" s="95"/>
      <c r="E57" s="95"/>
      <c r="F57" s="95"/>
      <c r="G57" s="95"/>
      <c r="H57" s="95"/>
      <c r="I57" s="308" t="s">
        <v>0</v>
      </c>
      <c r="J57" s="308"/>
      <c r="K57" s="308"/>
      <c r="M57" s="306" t="s">
        <v>57</v>
      </c>
      <c r="N57" s="306"/>
      <c r="O57" s="306"/>
      <c r="P57" s="105"/>
      <c r="Q57" s="305"/>
      <c r="R57" s="305"/>
      <c r="S57" s="305"/>
      <c r="U57" s="308"/>
      <c r="V57" s="308"/>
      <c r="W57" s="308"/>
      <c r="X57" s="308"/>
      <c r="Y57" s="308"/>
      <c r="Z57" s="308"/>
      <c r="AA57" s="308"/>
      <c r="AB57" s="308"/>
      <c r="AP57" s="112"/>
      <c r="AQ57" s="112"/>
      <c r="AR57" s="112"/>
      <c r="AS57" s="112"/>
      <c r="AT57" s="112"/>
      <c r="AU57" s="112"/>
      <c r="AV57" s="112"/>
      <c r="AW57" s="112"/>
      <c r="AX57" s="112"/>
    </row>
    <row r="58" spans="2:50 16384:16384" ht="15" customHeight="1" x14ac:dyDescent="0.3">
      <c r="B58" s="95" t="s">
        <v>194</v>
      </c>
      <c r="C58" s="95"/>
      <c r="D58" s="95"/>
      <c r="E58" s="95"/>
      <c r="F58" s="95"/>
      <c r="G58" s="95"/>
      <c r="H58" s="95"/>
      <c r="I58" s="308" t="s">
        <v>0</v>
      </c>
      <c r="J58" s="308"/>
      <c r="K58" s="308"/>
      <c r="M58" s="306" t="s">
        <v>57</v>
      </c>
      <c r="N58" s="306"/>
      <c r="O58" s="306"/>
      <c r="P58" s="105"/>
      <c r="Q58" s="305"/>
      <c r="R58" s="305"/>
      <c r="S58" s="305"/>
      <c r="U58" s="308"/>
      <c r="V58" s="308"/>
      <c r="W58" s="308"/>
      <c r="X58" s="308"/>
      <c r="Y58" s="308"/>
      <c r="Z58" s="308"/>
      <c r="AA58" s="308"/>
      <c r="AB58" s="308"/>
      <c r="AP58" s="112"/>
      <c r="AQ58" s="112"/>
      <c r="AR58" s="112"/>
      <c r="AS58" s="112"/>
      <c r="AT58" s="112"/>
      <c r="AU58" s="112"/>
      <c r="AV58" s="112"/>
      <c r="AW58" s="112"/>
      <c r="AX58" s="112"/>
    </row>
    <row r="59" spans="2:50 16384:16384" ht="15" customHeight="1" x14ac:dyDescent="0.3">
      <c r="B59" s="95" t="s">
        <v>195</v>
      </c>
      <c r="C59" s="95"/>
      <c r="D59" s="95"/>
      <c r="E59" s="95"/>
      <c r="F59" s="95"/>
      <c r="G59" s="95"/>
      <c r="H59" s="95"/>
      <c r="I59" s="308" t="s">
        <v>0</v>
      </c>
      <c r="J59" s="308"/>
      <c r="K59" s="308"/>
      <c r="M59" s="306" t="s">
        <v>57</v>
      </c>
      <c r="N59" s="306"/>
      <c r="O59" s="306"/>
      <c r="P59" s="105"/>
      <c r="Q59" s="305"/>
      <c r="R59" s="305"/>
      <c r="S59" s="305"/>
      <c r="U59" s="308"/>
      <c r="V59" s="308"/>
      <c r="W59" s="308"/>
      <c r="X59" s="308"/>
      <c r="Y59" s="308"/>
      <c r="Z59" s="308"/>
      <c r="AA59" s="308"/>
      <c r="AB59" s="308"/>
      <c r="AP59" s="7"/>
      <c r="AQ59" s="7"/>
      <c r="AR59" s="7"/>
      <c r="AS59" s="7"/>
      <c r="AT59" s="7"/>
      <c r="AU59" s="7"/>
      <c r="AV59" s="7"/>
      <c r="AW59" s="7"/>
      <c r="AX59" s="7"/>
    </row>
    <row r="60" spans="2:50 16384:16384" ht="15" customHeight="1" x14ac:dyDescent="0.3">
      <c r="B60" s="95" t="s">
        <v>196</v>
      </c>
      <c r="C60" s="95"/>
      <c r="D60" s="95"/>
      <c r="E60" s="95"/>
      <c r="F60" s="95"/>
      <c r="G60" s="95"/>
      <c r="H60" s="95"/>
      <c r="I60" s="308" t="s">
        <v>0</v>
      </c>
      <c r="J60" s="308"/>
      <c r="K60" s="308"/>
      <c r="M60" s="306" t="s">
        <v>57</v>
      </c>
      <c r="N60" s="306"/>
      <c r="O60" s="306"/>
      <c r="P60" s="105"/>
      <c r="Q60" s="305"/>
      <c r="R60" s="305"/>
      <c r="S60" s="305"/>
      <c r="U60" s="308"/>
      <c r="V60" s="308"/>
      <c r="W60" s="308"/>
      <c r="X60" s="308"/>
      <c r="Y60" s="308"/>
      <c r="Z60" s="308"/>
      <c r="AA60" s="308"/>
      <c r="AB60" s="308"/>
      <c r="AP60" s="112"/>
      <c r="AQ60" s="8"/>
      <c r="AR60" s="8"/>
      <c r="AS60" s="8"/>
      <c r="AT60" s="8"/>
      <c r="AU60" s="8"/>
      <c r="AV60" s="8"/>
      <c r="AW60" s="8"/>
      <c r="AX60" s="8"/>
    </row>
    <row r="61" spans="2:50 16384:16384" ht="15" customHeight="1" x14ac:dyDescent="0.3">
      <c r="B61" s="95"/>
      <c r="C61" s="95"/>
      <c r="D61" s="95"/>
      <c r="E61" s="95"/>
      <c r="F61" s="95"/>
      <c r="G61" s="95"/>
      <c r="H61" s="95"/>
      <c r="I61" s="95"/>
      <c r="J61" s="95"/>
      <c r="K61" s="95"/>
      <c r="L61" s="95"/>
      <c r="M61" s="95"/>
      <c r="N61" s="95"/>
      <c r="O61" s="95"/>
      <c r="P61" s="95"/>
      <c r="Q61" s="95"/>
      <c r="R61" s="95"/>
      <c r="S61" s="95"/>
      <c r="T61" s="95"/>
      <c r="U61" s="95"/>
      <c r="V61" s="95"/>
      <c r="W61" s="95"/>
      <c r="X61" s="95"/>
      <c r="Y61" s="95"/>
      <c r="Z61" s="95"/>
      <c r="AP61" s="112"/>
      <c r="AQ61" s="8"/>
      <c r="AR61" s="8"/>
      <c r="AS61" s="8"/>
      <c r="AT61" s="8"/>
      <c r="AU61" s="8"/>
      <c r="AV61" s="8"/>
      <c r="AW61" s="8"/>
      <c r="AX61" s="8"/>
    </row>
    <row r="62" spans="2:50 16384:16384" ht="15" customHeight="1" x14ac:dyDescent="0.3">
      <c r="B62" s="95"/>
      <c r="C62" s="95"/>
      <c r="D62" s="95"/>
      <c r="E62" s="95"/>
      <c r="F62" s="95"/>
      <c r="G62" s="95"/>
      <c r="H62" s="95"/>
      <c r="I62" s="95"/>
      <c r="J62" s="95"/>
      <c r="K62" s="95"/>
      <c r="L62" s="95"/>
      <c r="M62" s="95"/>
      <c r="N62" s="95"/>
      <c r="O62" s="95"/>
      <c r="P62" s="95"/>
      <c r="Q62" s="95"/>
      <c r="R62" s="95"/>
      <c r="S62" s="95"/>
      <c r="T62" s="95"/>
      <c r="U62" s="95"/>
      <c r="V62" s="95"/>
      <c r="W62" s="95"/>
      <c r="X62" s="95"/>
      <c r="Y62" s="95"/>
      <c r="Z62" s="95"/>
      <c r="AP62" s="112"/>
      <c r="AQ62" s="8"/>
      <c r="AR62" s="8"/>
      <c r="AS62" s="8"/>
      <c r="AT62" s="8"/>
      <c r="AU62" s="8"/>
      <c r="AV62" s="8"/>
      <c r="AW62" s="8"/>
      <c r="AX62" s="8"/>
    </row>
    <row r="63" spans="2:50 16384:16384" ht="15" customHeight="1" x14ac:dyDescent="0.3">
      <c r="B63" s="157" t="s">
        <v>1341</v>
      </c>
      <c r="C63" s="157"/>
      <c r="D63" s="157"/>
      <c r="E63" s="157"/>
      <c r="F63" s="113" t="s">
        <v>36</v>
      </c>
      <c r="G63" s="95"/>
      <c r="H63" s="95"/>
      <c r="I63" s="95"/>
      <c r="J63" s="95"/>
      <c r="K63" s="95"/>
      <c r="L63" s="95"/>
      <c r="M63" s="95"/>
      <c r="N63" s="95"/>
      <c r="O63" s="95"/>
      <c r="P63" s="95"/>
      <c r="Q63" s="95"/>
      <c r="R63" s="95"/>
      <c r="S63" s="95"/>
      <c r="T63" s="95"/>
      <c r="U63" s="95"/>
      <c r="V63" s="95"/>
      <c r="W63" s="95"/>
      <c r="X63" s="95"/>
      <c r="Y63" s="95"/>
      <c r="Z63" s="95"/>
      <c r="AP63" s="112"/>
      <c r="AQ63" s="8"/>
      <c r="AR63" s="8"/>
      <c r="AS63" s="8"/>
      <c r="AT63" s="8"/>
      <c r="AU63" s="8"/>
      <c r="AV63" s="8"/>
      <c r="AW63" s="8"/>
      <c r="AX63" s="8"/>
      <c r="XFD63" s="95"/>
    </row>
    <row r="64" spans="2:50 16384:16384" ht="15" customHeight="1" x14ac:dyDescent="0.3">
      <c r="B64" s="117"/>
      <c r="C64" s="117"/>
      <c r="D64" s="117"/>
      <c r="E64" s="117"/>
      <c r="F64" s="117"/>
      <c r="G64" s="95"/>
      <c r="H64" s="95"/>
      <c r="I64" s="95"/>
      <c r="J64" s="95"/>
      <c r="K64" s="95"/>
      <c r="L64" s="95"/>
      <c r="M64" s="95"/>
      <c r="N64" s="95"/>
      <c r="O64" s="95"/>
      <c r="P64" s="95"/>
      <c r="Q64" s="95"/>
      <c r="R64" s="95"/>
      <c r="S64" s="95"/>
      <c r="T64" s="95"/>
      <c r="U64" s="95"/>
      <c r="V64" s="95"/>
      <c r="W64" s="95"/>
      <c r="X64" s="95"/>
      <c r="Y64" s="95"/>
      <c r="Z64" s="95"/>
      <c r="AP64" s="112"/>
      <c r="AQ64" s="8"/>
      <c r="AR64" s="8"/>
      <c r="AS64" s="8"/>
      <c r="AT64" s="8"/>
      <c r="AU64" s="8"/>
      <c r="AV64" s="8"/>
      <c r="AW64" s="8"/>
      <c r="AX64" s="8"/>
      <c r="XFD64" s="95"/>
    </row>
    <row r="65" spans="2:50 16384:16384" ht="15" customHeight="1" x14ac:dyDescent="0.3">
      <c r="B65" s="154" t="s">
        <v>42</v>
      </c>
      <c r="C65" s="154"/>
      <c r="D65" s="154"/>
      <c r="E65" s="154"/>
      <c r="F65" s="154"/>
      <c r="G65" s="154"/>
      <c r="H65" s="154"/>
      <c r="I65" s="154"/>
      <c r="J65" s="154"/>
      <c r="K65" s="154"/>
      <c r="L65" s="154"/>
      <c r="M65" s="154"/>
      <c r="N65" s="154"/>
      <c r="O65" s="154"/>
      <c r="P65" s="154"/>
      <c r="Q65" s="154"/>
      <c r="R65" s="154"/>
      <c r="S65" s="154"/>
      <c r="T65" s="154"/>
      <c r="U65" s="154"/>
      <c r="V65" s="154"/>
      <c r="W65" s="154"/>
      <c r="X65" s="154"/>
      <c r="Y65" s="154"/>
      <c r="Z65" s="154"/>
      <c r="AA65" s="154"/>
      <c r="AP65" s="112"/>
      <c r="AQ65" s="8"/>
      <c r="AR65" s="8"/>
      <c r="AS65" s="8"/>
      <c r="AT65" s="8"/>
      <c r="AU65" s="8"/>
      <c r="AV65" s="8"/>
      <c r="AW65" s="8"/>
      <c r="AX65" s="8"/>
      <c r="XFD65" s="95"/>
    </row>
    <row r="66" spans="2:50 16384:16384" ht="30" customHeight="1" x14ac:dyDescent="0.3">
      <c r="B66" s="156" t="s">
        <v>43</v>
      </c>
      <c r="C66" s="157"/>
      <c r="D66" s="157"/>
      <c r="E66" s="157"/>
      <c r="F66" s="157"/>
      <c r="G66" s="157"/>
      <c r="H66" s="157"/>
      <c r="I66" s="157"/>
      <c r="J66" s="157"/>
      <c r="K66" s="157"/>
      <c r="L66" s="157"/>
      <c r="M66" s="157"/>
      <c r="N66" s="157"/>
      <c r="O66" s="157"/>
      <c r="P66" s="157"/>
      <c r="Q66" s="157"/>
      <c r="R66" s="157"/>
      <c r="S66" s="157"/>
      <c r="T66" s="157"/>
      <c r="U66" s="157"/>
      <c r="V66" s="157"/>
      <c r="W66" s="157"/>
      <c r="X66" s="157"/>
      <c r="Y66" s="157"/>
      <c r="Z66" s="157"/>
      <c r="AA66" s="157"/>
      <c r="AB66" s="93"/>
      <c r="AD66" s="95"/>
      <c r="AE66" s="95"/>
      <c r="AF66" s="95"/>
      <c r="AP66" s="112"/>
      <c r="AQ66" s="8"/>
      <c r="AR66" s="8"/>
      <c r="AS66" s="8"/>
      <c r="AT66" s="8"/>
      <c r="AU66" s="8"/>
      <c r="AV66" s="8"/>
      <c r="AW66" s="8"/>
      <c r="AX66" s="8"/>
      <c r="XFD66" s="95"/>
    </row>
    <row r="67" spans="2:50 16384:16384" ht="30" customHeight="1" x14ac:dyDescent="0.3">
      <c r="B67" s="153" t="s">
        <v>53</v>
      </c>
      <c r="C67" s="153"/>
      <c r="D67" s="153"/>
      <c r="E67" s="95"/>
      <c r="F67" s="95"/>
      <c r="G67" s="95"/>
      <c r="I67" s="311" t="s">
        <v>54</v>
      </c>
      <c r="J67" s="311"/>
      <c r="K67" s="311"/>
      <c r="M67" s="311" t="s">
        <v>55</v>
      </c>
      <c r="N67" s="311"/>
      <c r="O67" s="311"/>
      <c r="Q67" s="311" t="s">
        <v>56</v>
      </c>
      <c r="R67" s="311"/>
      <c r="S67" s="311"/>
      <c r="T67" s="103"/>
      <c r="U67" s="153" t="s">
        <v>33</v>
      </c>
      <c r="V67" s="153"/>
      <c r="W67" s="153"/>
      <c r="X67" s="153"/>
      <c r="Y67" s="153"/>
      <c r="Z67" s="153"/>
      <c r="AA67" s="153"/>
      <c r="AB67" s="153"/>
      <c r="AD67" s="95"/>
      <c r="AE67" s="95"/>
      <c r="AF67" s="95"/>
      <c r="AP67" s="112"/>
      <c r="AQ67" s="8"/>
      <c r="AR67" s="8"/>
      <c r="AS67" s="8"/>
      <c r="AT67" s="8"/>
      <c r="AU67" s="8"/>
      <c r="AV67" s="8"/>
      <c r="AW67" s="8"/>
      <c r="AX67" s="8"/>
      <c r="XFD67" s="95"/>
    </row>
    <row r="68" spans="2:50 16384:16384" ht="15" customHeight="1" x14ac:dyDescent="0.3">
      <c r="B68" s="95" t="s">
        <v>44</v>
      </c>
      <c r="C68" s="95"/>
      <c r="D68" s="95"/>
      <c r="E68" s="95"/>
      <c r="F68" s="95"/>
      <c r="G68" s="95"/>
      <c r="H68" s="95"/>
      <c r="I68" s="306" t="s">
        <v>1411</v>
      </c>
      <c r="J68" s="306"/>
      <c r="K68" s="306"/>
      <c r="M68" s="309" t="s">
        <v>57</v>
      </c>
      <c r="N68" s="309"/>
      <c r="O68" s="309"/>
      <c r="P68" s="103"/>
      <c r="Q68" s="305"/>
      <c r="R68" s="305"/>
      <c r="S68" s="305"/>
      <c r="U68" s="305"/>
      <c r="V68" s="305"/>
      <c r="W68" s="305"/>
      <c r="X68" s="305"/>
      <c r="Y68" s="305"/>
      <c r="Z68" s="305"/>
      <c r="AA68" s="305"/>
      <c r="AB68" s="305"/>
      <c r="AD68" s="313"/>
      <c r="AE68" s="313"/>
      <c r="AF68" s="313"/>
      <c r="AG68" s="313"/>
      <c r="AP68" s="112"/>
      <c r="AQ68" s="8"/>
      <c r="AR68" s="8"/>
      <c r="AS68" s="8"/>
      <c r="AT68" s="8"/>
      <c r="AU68" s="8"/>
      <c r="AV68" s="8"/>
      <c r="AW68" s="8"/>
      <c r="AX68" s="8"/>
    </row>
    <row r="69" spans="2:50 16384:16384" ht="15" customHeight="1" x14ac:dyDescent="0.3">
      <c r="B69" s="95" t="s">
        <v>45</v>
      </c>
      <c r="C69" s="95"/>
      <c r="D69" s="95"/>
      <c r="E69" s="95"/>
      <c r="F69" s="95"/>
      <c r="G69" s="95"/>
      <c r="H69" s="95"/>
      <c r="I69" s="306" t="s">
        <v>1411</v>
      </c>
      <c r="J69" s="306"/>
      <c r="K69" s="306"/>
      <c r="M69" s="309" t="s">
        <v>57</v>
      </c>
      <c r="N69" s="309"/>
      <c r="O69" s="309"/>
      <c r="P69" s="103"/>
      <c r="Q69" s="305"/>
      <c r="R69" s="305"/>
      <c r="S69" s="305"/>
      <c r="U69" s="308"/>
      <c r="V69" s="308"/>
      <c r="W69" s="308"/>
      <c r="X69" s="308"/>
      <c r="Y69" s="308"/>
      <c r="Z69" s="308"/>
      <c r="AA69" s="308"/>
      <c r="AB69" s="308"/>
      <c r="AC69" s="103"/>
      <c r="AE69" s="119"/>
      <c r="AM69" s="103"/>
      <c r="AN69" s="112"/>
      <c r="AO69" s="112"/>
      <c r="AP69" s="112"/>
      <c r="AQ69" s="8"/>
      <c r="AR69" s="8"/>
      <c r="AS69" s="8"/>
      <c r="AT69" s="8"/>
      <c r="AU69" s="8"/>
      <c r="AV69" s="8"/>
      <c r="AW69" s="8"/>
      <c r="AX69" s="8"/>
    </row>
    <row r="70" spans="2:50 16384:16384" ht="15" customHeight="1" x14ac:dyDescent="0.3">
      <c r="B70" s="95" t="s">
        <v>46</v>
      </c>
      <c r="C70" s="95"/>
      <c r="D70" s="95"/>
      <c r="E70" s="95"/>
      <c r="F70" s="95"/>
      <c r="G70" s="95"/>
      <c r="H70" s="95"/>
      <c r="I70" s="307" t="s">
        <v>1411</v>
      </c>
      <c r="J70" s="307"/>
      <c r="K70" s="307"/>
      <c r="M70" s="314" t="s">
        <v>57</v>
      </c>
      <c r="N70" s="314"/>
      <c r="O70" s="314"/>
      <c r="P70" s="103"/>
      <c r="Q70" s="305"/>
      <c r="R70" s="305"/>
      <c r="S70" s="305"/>
      <c r="U70" s="308"/>
      <c r="V70" s="308"/>
      <c r="W70" s="308"/>
      <c r="X70" s="308"/>
      <c r="Y70" s="308"/>
      <c r="Z70" s="308"/>
      <c r="AA70" s="308"/>
      <c r="AB70" s="308"/>
      <c r="AC70" s="103"/>
      <c r="AN70" s="8"/>
      <c r="AO70" s="8"/>
      <c r="AP70" s="8"/>
      <c r="AQ70" s="8"/>
      <c r="AR70" s="8"/>
      <c r="AS70" s="8"/>
      <c r="AT70" s="8"/>
      <c r="AU70" s="8"/>
      <c r="AV70" s="8"/>
      <c r="AW70" s="8"/>
      <c r="AX70" s="8"/>
    </row>
    <row r="71" spans="2:50 16384:16384" ht="15" customHeight="1" x14ac:dyDescent="0.3">
      <c r="B71" s="95" t="s">
        <v>47</v>
      </c>
      <c r="C71" s="95"/>
      <c r="D71" s="95"/>
      <c r="E71" s="95"/>
      <c r="F71" s="95"/>
      <c r="G71" s="95"/>
      <c r="H71" s="95"/>
      <c r="I71" s="307" t="s">
        <v>1411</v>
      </c>
      <c r="J71" s="307"/>
      <c r="K71" s="307"/>
      <c r="M71" s="314" t="s">
        <v>57</v>
      </c>
      <c r="N71" s="314"/>
      <c r="O71" s="314"/>
      <c r="P71" s="103"/>
      <c r="Q71" s="305"/>
      <c r="R71" s="305"/>
      <c r="S71" s="305"/>
      <c r="U71" s="308"/>
      <c r="V71" s="308"/>
      <c r="W71" s="308"/>
      <c r="X71" s="308"/>
      <c r="Y71" s="308"/>
      <c r="Z71" s="308"/>
      <c r="AA71" s="308"/>
      <c r="AB71" s="308"/>
      <c r="AC71" s="103"/>
      <c r="AE71" s="119"/>
      <c r="AM71" s="103"/>
      <c r="AN71" s="112"/>
      <c r="AO71" s="112"/>
      <c r="AP71" s="112"/>
      <c r="AQ71" s="8"/>
      <c r="AR71" s="8"/>
      <c r="AS71" s="8"/>
      <c r="AT71" s="8"/>
      <c r="AU71" s="8"/>
      <c r="AV71" s="8"/>
      <c r="AW71" s="8"/>
      <c r="AX71" s="8"/>
    </row>
    <row r="72" spans="2:50 16384:16384" ht="15" customHeight="1" x14ac:dyDescent="0.3">
      <c r="B72" s="95" t="s">
        <v>58</v>
      </c>
      <c r="C72" s="95"/>
      <c r="D72" s="95"/>
      <c r="E72" s="95"/>
      <c r="F72" s="95"/>
      <c r="G72" s="95"/>
      <c r="H72" s="95"/>
      <c r="I72" s="307" t="s">
        <v>1411</v>
      </c>
      <c r="J72" s="307"/>
      <c r="K72" s="307"/>
      <c r="M72" s="314" t="s">
        <v>57</v>
      </c>
      <c r="N72" s="314"/>
      <c r="O72" s="314"/>
      <c r="P72" s="103"/>
      <c r="Q72" s="305"/>
      <c r="R72" s="305"/>
      <c r="S72" s="305"/>
      <c r="U72" s="308"/>
      <c r="V72" s="308"/>
      <c r="W72" s="308"/>
      <c r="X72" s="308"/>
      <c r="Y72" s="308"/>
      <c r="Z72" s="308"/>
      <c r="AA72" s="308"/>
      <c r="AB72" s="308"/>
      <c r="AC72" s="103"/>
      <c r="AD72" s="103"/>
      <c r="AE72" s="103"/>
      <c r="AF72" s="103"/>
      <c r="AG72" s="103"/>
      <c r="AH72" s="103"/>
      <c r="AI72" s="103"/>
      <c r="AJ72" s="103"/>
      <c r="AK72" s="103"/>
      <c r="AL72" s="103"/>
      <c r="AM72" s="103"/>
      <c r="AN72" s="8"/>
      <c r="AO72" s="8"/>
      <c r="AP72" s="8"/>
      <c r="AQ72" s="8"/>
      <c r="AR72" s="8"/>
      <c r="AS72" s="8"/>
      <c r="AT72" s="8"/>
      <c r="AU72" s="8"/>
      <c r="AV72" s="8"/>
      <c r="AW72" s="8"/>
      <c r="AX72" s="8"/>
    </row>
    <row r="73" spans="2:50 16384:16384" ht="15" customHeight="1" x14ac:dyDescent="0.3">
      <c r="B73" s="95" t="s">
        <v>59</v>
      </c>
      <c r="C73" s="95"/>
      <c r="D73" s="95"/>
      <c r="E73" s="95"/>
      <c r="F73" s="95"/>
      <c r="G73" s="95"/>
      <c r="H73" s="95"/>
      <c r="I73" s="307" t="s">
        <v>1411</v>
      </c>
      <c r="J73" s="307"/>
      <c r="K73" s="307"/>
      <c r="M73" s="314" t="s">
        <v>57</v>
      </c>
      <c r="N73" s="314"/>
      <c r="O73" s="314"/>
      <c r="P73" s="103"/>
      <c r="Q73" s="305"/>
      <c r="R73" s="305"/>
      <c r="S73" s="305"/>
      <c r="U73" s="308"/>
      <c r="V73" s="308"/>
      <c r="W73" s="308"/>
      <c r="X73" s="308"/>
      <c r="Y73" s="308"/>
      <c r="Z73" s="308"/>
      <c r="AA73" s="308"/>
      <c r="AB73" s="308"/>
      <c r="AC73" s="103"/>
      <c r="AD73" s="103"/>
      <c r="AE73" s="103"/>
      <c r="AF73" s="103"/>
      <c r="AG73" s="103"/>
      <c r="AH73" s="103"/>
      <c r="AI73" s="103"/>
      <c r="AJ73" s="103"/>
      <c r="AK73" s="103"/>
      <c r="AL73" s="103"/>
      <c r="AM73" s="103"/>
      <c r="AN73" s="8"/>
      <c r="AO73" s="8"/>
      <c r="AP73" s="8"/>
      <c r="AQ73" s="8"/>
      <c r="AR73" s="8"/>
      <c r="AS73" s="8"/>
      <c r="AT73" s="8"/>
      <c r="AU73" s="8"/>
      <c r="AV73" s="8"/>
      <c r="AW73" s="8"/>
      <c r="AX73" s="8"/>
    </row>
    <row r="74" spans="2:50 16384:16384" ht="15" customHeight="1" x14ac:dyDescent="0.3">
      <c r="B74" s="95" t="s">
        <v>60</v>
      </c>
      <c r="C74" s="95"/>
      <c r="D74" s="95"/>
      <c r="E74" s="95"/>
      <c r="F74" s="95"/>
      <c r="G74" s="95"/>
      <c r="H74" s="95"/>
      <c r="I74" s="307" t="s">
        <v>1411</v>
      </c>
      <c r="J74" s="307"/>
      <c r="K74" s="307"/>
      <c r="M74" s="314" t="s">
        <v>57</v>
      </c>
      <c r="N74" s="314"/>
      <c r="O74" s="314"/>
      <c r="P74" s="103"/>
      <c r="Q74" s="305"/>
      <c r="R74" s="305"/>
      <c r="S74" s="305"/>
      <c r="U74" s="308"/>
      <c r="V74" s="308"/>
      <c r="W74" s="308"/>
      <c r="X74" s="308"/>
      <c r="Y74" s="308"/>
      <c r="Z74" s="308"/>
      <c r="AA74" s="308"/>
      <c r="AB74" s="308"/>
      <c r="AC74" s="103"/>
      <c r="AD74" s="103"/>
      <c r="AE74" s="103"/>
      <c r="AF74" s="103"/>
      <c r="AG74" s="103"/>
      <c r="AH74" s="103"/>
      <c r="AI74" s="103"/>
      <c r="AJ74" s="103"/>
      <c r="AK74" s="103"/>
      <c r="AL74" s="103"/>
      <c r="AM74" s="103"/>
      <c r="AN74" s="8"/>
      <c r="AO74" s="8"/>
      <c r="AP74" s="8"/>
      <c r="AQ74" s="8"/>
      <c r="AR74" s="8"/>
      <c r="AS74" s="8"/>
      <c r="AT74" s="8"/>
      <c r="AU74" s="8"/>
      <c r="AV74" s="8"/>
      <c r="AW74" s="8"/>
      <c r="AX74" s="8"/>
    </row>
    <row r="75" spans="2:50 16384:16384" ht="15" customHeight="1" x14ac:dyDescent="0.3">
      <c r="B75" s="95" t="s">
        <v>61</v>
      </c>
      <c r="C75" s="95"/>
      <c r="D75" s="95"/>
      <c r="E75" s="95"/>
      <c r="F75" s="95"/>
      <c r="G75" s="95"/>
      <c r="H75" s="95"/>
      <c r="I75" s="307" t="s">
        <v>1411</v>
      </c>
      <c r="J75" s="307"/>
      <c r="K75" s="307"/>
      <c r="M75" s="314" t="s">
        <v>57</v>
      </c>
      <c r="N75" s="314"/>
      <c r="O75" s="314"/>
      <c r="P75" s="103"/>
      <c r="Q75" s="305"/>
      <c r="R75" s="305"/>
      <c r="S75" s="305"/>
      <c r="U75" s="308"/>
      <c r="V75" s="308"/>
      <c r="W75" s="308"/>
      <c r="X75" s="308"/>
      <c r="Y75" s="308"/>
      <c r="Z75" s="308"/>
      <c r="AA75" s="308"/>
      <c r="AB75" s="308"/>
      <c r="AC75" s="103"/>
      <c r="AD75" s="103"/>
      <c r="AE75" s="119"/>
      <c r="AF75" s="103"/>
      <c r="AG75" s="103"/>
      <c r="AH75" s="103"/>
      <c r="AI75" s="103"/>
      <c r="AJ75" s="103"/>
      <c r="AK75" s="103"/>
      <c r="AL75" s="103"/>
      <c r="AM75" s="103"/>
      <c r="AN75" s="8"/>
      <c r="AO75" s="8"/>
      <c r="AP75" s="8"/>
      <c r="AQ75" s="8"/>
      <c r="AR75" s="8"/>
      <c r="AS75" s="8"/>
      <c r="AT75" s="8"/>
      <c r="AU75" s="8"/>
      <c r="AV75" s="8"/>
      <c r="AW75" s="8"/>
      <c r="AX75" s="8"/>
    </row>
    <row r="76" spans="2:50 16384:16384" ht="15" customHeight="1" x14ac:dyDescent="0.3">
      <c r="B76" s="95" t="s">
        <v>62</v>
      </c>
      <c r="C76" s="95"/>
      <c r="D76" s="95"/>
      <c r="E76" s="95"/>
      <c r="F76" s="95"/>
      <c r="G76" s="95"/>
      <c r="H76" s="95"/>
      <c r="I76" s="306" t="s">
        <v>1411</v>
      </c>
      <c r="J76" s="306"/>
      <c r="K76" s="306"/>
      <c r="M76" s="309" t="s">
        <v>57</v>
      </c>
      <c r="N76" s="309"/>
      <c r="O76" s="309"/>
      <c r="P76" s="103"/>
      <c r="Q76" s="305"/>
      <c r="R76" s="305"/>
      <c r="S76" s="305"/>
      <c r="U76" s="305"/>
      <c r="V76" s="305"/>
      <c r="W76" s="305"/>
      <c r="X76" s="305"/>
      <c r="Y76" s="305"/>
      <c r="Z76" s="305"/>
      <c r="AA76" s="305"/>
      <c r="AB76" s="305"/>
      <c r="AC76" s="103"/>
      <c r="AD76" s="103"/>
      <c r="AE76" s="119"/>
      <c r="AF76" s="103"/>
      <c r="AG76" s="103"/>
      <c r="AH76" s="103"/>
      <c r="AI76" s="103"/>
      <c r="AJ76" s="103"/>
      <c r="AK76" s="103"/>
      <c r="AL76" s="103"/>
      <c r="AM76" s="103"/>
      <c r="AN76" s="8"/>
      <c r="AO76" s="8"/>
      <c r="AP76" s="8"/>
      <c r="AQ76" s="8"/>
      <c r="AR76" s="8"/>
      <c r="AS76" s="8"/>
      <c r="AT76" s="8"/>
      <c r="AU76" s="8"/>
      <c r="AV76" s="8"/>
      <c r="AW76" s="8"/>
      <c r="AX76" s="8"/>
    </row>
    <row r="77" spans="2:50 16384:16384" ht="2.25" customHeight="1" x14ac:dyDescent="0.3">
      <c r="B77" s="95"/>
      <c r="C77" s="95"/>
      <c r="D77" s="95"/>
      <c r="E77" s="95"/>
      <c r="F77" s="95"/>
      <c r="G77" s="95"/>
      <c r="H77" s="95"/>
      <c r="I77" s="119"/>
      <c r="J77" s="119"/>
      <c r="K77" s="119"/>
      <c r="M77" s="119"/>
      <c r="N77" s="119"/>
      <c r="O77" s="119"/>
      <c r="P77" s="103"/>
      <c r="Q77" s="119"/>
      <c r="R77" s="119"/>
      <c r="S77" s="119"/>
      <c r="U77" s="119"/>
      <c r="V77" s="119"/>
      <c r="W77" s="119"/>
      <c r="X77" s="119"/>
      <c r="Y77" s="119"/>
      <c r="Z77" s="119"/>
      <c r="AA77" s="119"/>
      <c r="AB77" s="119"/>
      <c r="AC77" s="103"/>
      <c r="AD77" s="103"/>
      <c r="AE77" s="119"/>
      <c r="AF77" s="103"/>
      <c r="AG77" s="103"/>
      <c r="AH77" s="103"/>
      <c r="AI77" s="103"/>
      <c r="AJ77" s="103"/>
      <c r="AK77" s="103"/>
      <c r="AL77" s="103"/>
      <c r="AM77" s="103"/>
      <c r="AN77" s="8"/>
      <c r="AO77" s="8"/>
      <c r="AP77" s="8"/>
      <c r="AQ77" s="8"/>
      <c r="AR77" s="8"/>
      <c r="AS77" s="8"/>
      <c r="AT77" s="8"/>
      <c r="AU77" s="8"/>
      <c r="AV77" s="8"/>
      <c r="AW77" s="8"/>
      <c r="AX77" s="8"/>
    </row>
    <row r="78" spans="2:50 16384:16384" ht="15" customHeight="1" x14ac:dyDescent="0.3">
      <c r="B78" s="95" t="s">
        <v>197</v>
      </c>
      <c r="C78" s="95"/>
      <c r="D78" s="95"/>
      <c r="E78" s="95"/>
      <c r="F78" s="95"/>
      <c r="G78" s="95"/>
      <c r="H78" s="95"/>
      <c r="I78" s="309" t="s">
        <v>0</v>
      </c>
      <c r="J78" s="309"/>
      <c r="K78" s="309"/>
      <c r="M78" s="306" t="s">
        <v>57</v>
      </c>
      <c r="N78" s="306"/>
      <c r="O78" s="306"/>
      <c r="P78" s="103"/>
      <c r="Q78" s="306" t="s">
        <v>0</v>
      </c>
      <c r="R78" s="306"/>
      <c r="S78" s="306"/>
      <c r="U78" s="305"/>
      <c r="V78" s="305"/>
      <c r="W78" s="305"/>
      <c r="X78" s="305"/>
      <c r="Y78" s="305"/>
      <c r="Z78" s="305"/>
      <c r="AA78" s="305"/>
      <c r="AB78" s="305"/>
      <c r="AC78" s="103"/>
      <c r="AD78" s="103"/>
      <c r="AE78" s="119"/>
      <c r="AF78" s="103"/>
      <c r="AG78" s="103"/>
      <c r="AH78" s="103"/>
      <c r="AI78" s="103"/>
      <c r="AJ78" s="103"/>
      <c r="AK78" s="103"/>
      <c r="AL78" s="103"/>
      <c r="AM78" s="103"/>
      <c r="AN78" s="8"/>
      <c r="AO78" s="8"/>
      <c r="AP78" s="8"/>
      <c r="AQ78" s="8"/>
      <c r="AR78" s="8"/>
      <c r="AS78" s="8"/>
      <c r="AT78" s="8"/>
      <c r="AU78" s="8"/>
      <c r="AV78" s="8"/>
      <c r="AW78" s="8"/>
      <c r="AX78" s="8"/>
    </row>
    <row r="79" spans="2:50 16384:16384" ht="2.25" customHeight="1" x14ac:dyDescent="0.3">
      <c r="B79" s="95"/>
      <c r="C79" s="95"/>
      <c r="D79" s="95"/>
      <c r="E79" s="95"/>
      <c r="F79" s="95"/>
      <c r="G79" s="95"/>
      <c r="H79" s="95"/>
      <c r="I79" s="119"/>
      <c r="J79" s="119"/>
      <c r="K79" s="119"/>
      <c r="M79" s="119"/>
      <c r="N79" s="119"/>
      <c r="O79" s="119"/>
      <c r="Q79" s="119"/>
      <c r="R79" s="119"/>
      <c r="S79" s="119"/>
      <c r="U79" s="119"/>
      <c r="V79" s="119"/>
      <c r="W79" s="119"/>
      <c r="X79" s="119"/>
      <c r="Y79" s="119"/>
      <c r="Z79" s="119"/>
      <c r="AA79" s="119"/>
      <c r="AB79" s="119"/>
      <c r="AD79" s="103"/>
      <c r="AE79" s="119"/>
      <c r="AF79" s="103"/>
      <c r="AG79" s="103"/>
      <c r="AH79" s="103"/>
      <c r="AI79" s="103"/>
      <c r="AJ79" s="103"/>
      <c r="AK79" s="103"/>
      <c r="AL79" s="103"/>
      <c r="AM79" s="103"/>
      <c r="AN79" s="8"/>
      <c r="AO79" s="8"/>
      <c r="AP79" s="8"/>
      <c r="AQ79" s="8"/>
      <c r="AR79" s="8"/>
      <c r="AS79" s="8"/>
      <c r="AT79" s="8"/>
      <c r="AU79" s="8"/>
      <c r="AV79" s="8"/>
      <c r="AW79" s="8"/>
      <c r="AX79" s="8"/>
    </row>
    <row r="84" spans="2:33" ht="14.4" thickBot="1" x14ac:dyDescent="0.35"/>
    <row r="85" spans="2:33" ht="14.4" thickBot="1" x14ac:dyDescent="0.35">
      <c r="B85" s="315" t="s">
        <v>48</v>
      </c>
      <c r="C85" s="316"/>
      <c r="D85" s="316"/>
      <c r="E85" s="316"/>
      <c r="F85" s="316"/>
      <c r="G85" s="316"/>
      <c r="H85" s="316"/>
      <c r="I85" s="316"/>
      <c r="J85" s="316"/>
      <c r="K85" s="316"/>
      <c r="L85" s="316"/>
      <c r="M85" s="316"/>
      <c r="N85" s="316"/>
      <c r="O85" s="316"/>
      <c r="P85" s="316"/>
      <c r="Q85" s="316"/>
      <c r="R85" s="316"/>
      <c r="S85" s="316"/>
      <c r="T85" s="316"/>
      <c r="U85" s="316"/>
      <c r="V85" s="316"/>
      <c r="W85" s="316"/>
      <c r="X85" s="316"/>
      <c r="Y85" s="316"/>
      <c r="Z85" s="316"/>
      <c r="AA85" s="316"/>
      <c r="AB85" s="316"/>
      <c r="AC85" s="317"/>
    </row>
    <row r="86" spans="2:33" x14ac:dyDescent="0.3">
      <c r="B86" s="318"/>
      <c r="C86" s="319"/>
      <c r="D86" s="319"/>
      <c r="E86" s="319"/>
      <c r="F86" s="319"/>
      <c r="G86" s="319"/>
      <c r="H86" s="319"/>
      <c r="I86" s="319"/>
      <c r="J86" s="319"/>
      <c r="K86" s="319"/>
      <c r="L86" s="319"/>
      <c r="M86" s="319"/>
      <c r="N86" s="319"/>
      <c r="O86" s="319"/>
      <c r="P86" s="319"/>
      <c r="Q86" s="319"/>
      <c r="R86" s="319"/>
      <c r="S86" s="319"/>
      <c r="T86" s="319"/>
      <c r="U86" s="319"/>
      <c r="V86" s="319"/>
      <c r="W86" s="319"/>
      <c r="X86" s="319"/>
      <c r="Y86" s="319"/>
      <c r="Z86" s="319"/>
      <c r="AA86" s="319"/>
      <c r="AB86" s="319"/>
      <c r="AC86" s="320"/>
    </row>
    <row r="87" spans="2:33" x14ac:dyDescent="0.3">
      <c r="B87" s="321"/>
      <c r="C87" s="322"/>
      <c r="D87" s="322"/>
      <c r="E87" s="322"/>
      <c r="F87" s="322"/>
      <c r="G87" s="322"/>
      <c r="H87" s="322"/>
      <c r="I87" s="322"/>
      <c r="J87" s="322"/>
      <c r="K87" s="322"/>
      <c r="L87" s="322"/>
      <c r="M87" s="322"/>
      <c r="N87" s="322"/>
      <c r="O87" s="322"/>
      <c r="P87" s="322"/>
      <c r="Q87" s="322"/>
      <c r="R87" s="322"/>
      <c r="S87" s="322"/>
      <c r="T87" s="322"/>
      <c r="U87" s="322"/>
      <c r="V87" s="322"/>
      <c r="W87" s="322"/>
      <c r="X87" s="322"/>
      <c r="Y87" s="322"/>
      <c r="Z87" s="322"/>
      <c r="AA87" s="322"/>
      <c r="AB87" s="322"/>
      <c r="AC87" s="323"/>
    </row>
    <row r="88" spans="2:33" x14ac:dyDescent="0.3">
      <c r="B88" s="321"/>
      <c r="C88" s="322"/>
      <c r="D88" s="322"/>
      <c r="E88" s="322"/>
      <c r="F88" s="322"/>
      <c r="G88" s="322"/>
      <c r="H88" s="322"/>
      <c r="I88" s="322"/>
      <c r="J88" s="322"/>
      <c r="K88" s="322"/>
      <c r="L88" s="322"/>
      <c r="M88" s="322"/>
      <c r="N88" s="322"/>
      <c r="O88" s="322"/>
      <c r="P88" s="322"/>
      <c r="Q88" s="322"/>
      <c r="R88" s="322"/>
      <c r="S88" s="322"/>
      <c r="T88" s="322"/>
      <c r="U88" s="322"/>
      <c r="V88" s="322"/>
      <c r="W88" s="322"/>
      <c r="X88" s="322"/>
      <c r="Y88" s="322"/>
      <c r="Z88" s="322"/>
      <c r="AA88" s="322"/>
      <c r="AB88" s="322"/>
      <c r="AC88" s="323"/>
    </row>
    <row r="89" spans="2:33" x14ac:dyDescent="0.3">
      <c r="B89" s="321"/>
      <c r="C89" s="322"/>
      <c r="D89" s="322"/>
      <c r="E89" s="322"/>
      <c r="F89" s="322"/>
      <c r="G89" s="322"/>
      <c r="H89" s="322"/>
      <c r="I89" s="322"/>
      <c r="J89" s="322"/>
      <c r="K89" s="322"/>
      <c r="L89" s="322"/>
      <c r="M89" s="322"/>
      <c r="N89" s="322"/>
      <c r="O89" s="322"/>
      <c r="P89" s="322"/>
      <c r="Q89" s="322"/>
      <c r="R89" s="322"/>
      <c r="S89" s="322"/>
      <c r="T89" s="322"/>
      <c r="U89" s="322"/>
      <c r="V89" s="322"/>
      <c r="W89" s="322"/>
      <c r="X89" s="322"/>
      <c r="Y89" s="322"/>
      <c r="Z89" s="322"/>
      <c r="AA89" s="322"/>
      <c r="AB89" s="322"/>
      <c r="AC89" s="323"/>
    </row>
    <row r="90" spans="2:33" ht="14.4" thickBot="1" x14ac:dyDescent="0.35">
      <c r="B90" s="324"/>
      <c r="C90" s="325"/>
      <c r="D90" s="325"/>
      <c r="E90" s="325"/>
      <c r="F90" s="325"/>
      <c r="G90" s="325"/>
      <c r="H90" s="325"/>
      <c r="I90" s="325"/>
      <c r="J90" s="325"/>
      <c r="K90" s="325"/>
      <c r="L90" s="325"/>
      <c r="M90" s="325"/>
      <c r="N90" s="325"/>
      <c r="O90" s="325"/>
      <c r="P90" s="325"/>
      <c r="Q90" s="325"/>
      <c r="R90" s="325"/>
      <c r="S90" s="325"/>
      <c r="T90" s="325"/>
      <c r="U90" s="325"/>
      <c r="V90" s="325"/>
      <c r="W90" s="325"/>
      <c r="X90" s="325"/>
      <c r="Y90" s="325"/>
      <c r="Z90" s="325"/>
      <c r="AA90" s="325"/>
      <c r="AB90" s="325"/>
      <c r="AC90" s="326"/>
    </row>
    <row r="93" spans="2:33" ht="15" customHeight="1" x14ac:dyDescent="0.3">
      <c r="B93" s="117"/>
      <c r="C93" s="123"/>
      <c r="D93" s="123"/>
      <c r="E93" s="123"/>
      <c r="F93" s="123"/>
      <c r="G93" s="123"/>
      <c r="H93" s="119"/>
      <c r="I93" s="123"/>
      <c r="J93" s="123"/>
      <c r="K93" s="119"/>
      <c r="L93" s="123"/>
      <c r="M93" s="124"/>
      <c r="N93" s="124"/>
      <c r="O93" s="124"/>
      <c r="P93" s="124"/>
      <c r="Q93" s="124"/>
      <c r="R93" s="124"/>
      <c r="S93" s="124"/>
      <c r="T93" s="123"/>
      <c r="U93" s="119"/>
      <c r="V93" s="124"/>
      <c r="W93" s="124"/>
      <c r="X93" s="124"/>
      <c r="Y93" s="124"/>
      <c r="Z93" s="124"/>
      <c r="AA93" s="124"/>
      <c r="AB93" s="120"/>
      <c r="AC93" s="103"/>
    </row>
    <row r="94" spans="2:33" ht="15" hidden="1" customHeight="1" x14ac:dyDescent="0.3">
      <c r="B94" s="152" t="s">
        <v>23</v>
      </c>
      <c r="C94" s="152"/>
      <c r="D94" s="152"/>
      <c r="E94" s="152"/>
      <c r="F94" s="152"/>
      <c r="G94" s="152"/>
      <c r="H94" s="152"/>
      <c r="I94" s="152"/>
      <c r="J94" s="152"/>
      <c r="K94" s="152"/>
      <c r="L94" s="152"/>
      <c r="M94" s="152"/>
      <c r="N94" s="152"/>
      <c r="O94" s="152"/>
      <c r="P94" s="152"/>
      <c r="Q94" s="152"/>
      <c r="R94" s="152"/>
      <c r="S94" s="152"/>
      <c r="T94" s="152"/>
      <c r="U94" s="152"/>
      <c r="V94" s="152"/>
      <c r="W94" s="152"/>
      <c r="X94" s="152"/>
      <c r="Y94" s="152"/>
      <c r="Z94" s="152"/>
      <c r="AA94" s="152"/>
      <c r="AB94" s="93"/>
    </row>
    <row r="95" spans="2:33" ht="27.75" hidden="1" customHeight="1" x14ac:dyDescent="0.3">
      <c r="B95" s="179" t="s">
        <v>1322</v>
      </c>
      <c r="C95" s="179"/>
      <c r="D95" s="179"/>
      <c r="E95" s="179"/>
      <c r="F95" s="179"/>
      <c r="G95" s="179"/>
      <c r="H95" s="179"/>
      <c r="I95" s="179"/>
      <c r="J95" s="179"/>
      <c r="K95" s="179"/>
      <c r="L95" s="179"/>
      <c r="M95" s="179"/>
      <c r="N95" s="179"/>
      <c r="O95" s="179"/>
      <c r="P95" s="179"/>
      <c r="Q95" s="179"/>
      <c r="R95" s="179"/>
      <c r="S95" s="179"/>
      <c r="T95" s="179"/>
      <c r="U95" s="179"/>
      <c r="V95" s="179"/>
      <c r="W95" s="179"/>
      <c r="X95" s="179"/>
      <c r="Y95" s="179"/>
      <c r="Z95" s="179"/>
      <c r="AA95" s="179"/>
    </row>
    <row r="96" spans="2:33" s="128" customFormat="1" ht="27" hidden="1" customHeight="1" x14ac:dyDescent="0.3">
      <c r="B96" s="176" t="s">
        <v>156</v>
      </c>
      <c r="C96" s="176"/>
      <c r="D96" s="176"/>
      <c r="E96" s="176"/>
      <c r="F96" s="176"/>
      <c r="G96" s="176"/>
      <c r="H96" s="176"/>
      <c r="I96" s="176"/>
      <c r="J96" s="180" t="e">
        <f>IF(#REF!="- seleccione - ",1205125,IF(#REF!="SI",1205125+583202,1205125))</f>
        <v>#REF!</v>
      </c>
      <c r="K96" s="180"/>
      <c r="L96" s="180"/>
      <c r="M96" s="180"/>
      <c r="N96" s="180"/>
      <c r="O96" s="180"/>
      <c r="P96" s="127"/>
      <c r="Q96" s="127"/>
      <c r="R96" s="127"/>
      <c r="S96" s="151" t="s">
        <v>157</v>
      </c>
      <c r="T96" s="151"/>
      <c r="U96" s="151"/>
      <c r="V96" s="151"/>
      <c r="W96" s="181" t="s">
        <v>16</v>
      </c>
      <c r="X96" s="181"/>
      <c r="Y96" s="181"/>
      <c r="Z96" s="181"/>
      <c r="AA96" s="181"/>
      <c r="AB96" s="107"/>
      <c r="AC96" s="181" t="s">
        <v>16</v>
      </c>
      <c r="AD96" s="181"/>
      <c r="AE96" s="181"/>
      <c r="AF96" s="181"/>
      <c r="AG96" s="181"/>
    </row>
    <row r="97" spans="1:29" ht="15" hidden="1" customHeight="1" x14ac:dyDescent="0.3">
      <c r="B97" s="95"/>
      <c r="C97" s="95"/>
      <c r="D97" s="95"/>
      <c r="E97" s="95"/>
      <c r="F97" s="95"/>
      <c r="G97" s="95"/>
      <c r="H97" s="95"/>
      <c r="I97" s="95"/>
      <c r="J97" s="95"/>
      <c r="K97" s="95"/>
      <c r="L97" s="95"/>
      <c r="M97" s="95"/>
      <c r="N97" s="95"/>
      <c r="O97" s="95"/>
      <c r="P97" s="95"/>
      <c r="Q97" s="95"/>
      <c r="R97" s="95"/>
      <c r="S97" s="95"/>
      <c r="T97" s="95"/>
      <c r="U97" s="95"/>
      <c r="V97" s="95"/>
      <c r="W97" s="95"/>
      <c r="X97" s="95"/>
      <c r="Y97" s="95"/>
      <c r="Z97" s="95"/>
    </row>
    <row r="98" spans="1:29" ht="27" hidden="1" customHeight="1" x14ac:dyDescent="0.3">
      <c r="B98" s="148" t="s">
        <v>1321</v>
      </c>
      <c r="C98" s="148"/>
      <c r="D98" s="148"/>
      <c r="E98" s="148"/>
      <c r="F98" s="148"/>
      <c r="G98" s="129"/>
      <c r="H98" s="129"/>
      <c r="I98" s="151" t="s">
        <v>157</v>
      </c>
      <c r="J98" s="151"/>
      <c r="K98" s="151"/>
      <c r="L98" s="151"/>
      <c r="M98" s="181" t="s">
        <v>16</v>
      </c>
      <c r="N98" s="181"/>
      <c r="O98" s="181"/>
      <c r="P98" s="181"/>
      <c r="Q98" s="95"/>
      <c r="R98" s="181" t="s">
        <v>16</v>
      </c>
      <c r="S98" s="181"/>
      <c r="T98" s="181"/>
      <c r="U98" s="181"/>
      <c r="V98" s="181"/>
      <c r="AA98" s="93"/>
      <c r="AB98" s="93"/>
    </row>
    <row r="99" spans="1:29" ht="6" hidden="1" customHeight="1" x14ac:dyDescent="0.3">
      <c r="B99" s="117"/>
      <c r="C99" s="117"/>
      <c r="D99" s="117"/>
      <c r="E99" s="117"/>
      <c r="F99" s="107"/>
      <c r="G99" s="107"/>
      <c r="H99" s="107"/>
      <c r="I99" s="107"/>
      <c r="J99" s="95"/>
      <c r="K99" s="126"/>
      <c r="L99" s="126"/>
      <c r="M99" s="126"/>
      <c r="N99" s="130"/>
      <c r="O99" s="130"/>
      <c r="P99" s="130"/>
      <c r="Q99" s="130"/>
      <c r="R99" s="130"/>
      <c r="S99" s="130"/>
      <c r="T99" s="107"/>
      <c r="U99" s="107"/>
      <c r="V99" s="107"/>
      <c r="W99" s="107"/>
      <c r="X99" s="107"/>
      <c r="Y99" s="107"/>
      <c r="Z99" s="107"/>
      <c r="AA99" s="107"/>
      <c r="AB99" s="107"/>
    </row>
    <row r="100" spans="1:29" s="101" customFormat="1" ht="12.75" hidden="1" customHeight="1" x14ac:dyDescent="0.3">
      <c r="B100" s="176" t="s">
        <v>158</v>
      </c>
      <c r="C100" s="176"/>
      <c r="D100" s="176"/>
      <c r="E100" s="176"/>
      <c r="F100" s="176"/>
      <c r="G100" s="176"/>
      <c r="H100" s="176"/>
      <c r="I100" s="126"/>
      <c r="J100" s="176" t="s">
        <v>24</v>
      </c>
      <c r="K100" s="176"/>
      <c r="L100" s="177" t="s">
        <v>25</v>
      </c>
      <c r="M100" s="177"/>
      <c r="N100" s="177"/>
      <c r="O100" s="177"/>
      <c r="P100" s="131"/>
      <c r="Q100" s="176" t="s">
        <v>26</v>
      </c>
      <c r="R100" s="176"/>
      <c r="S100" s="177" t="s">
        <v>25</v>
      </c>
      <c r="T100" s="177"/>
      <c r="U100" s="177"/>
      <c r="V100" s="177"/>
      <c r="W100" s="131"/>
      <c r="X100" s="131"/>
      <c r="Y100" s="131"/>
      <c r="Z100" s="131"/>
      <c r="AA100" s="131"/>
      <c r="AB100" s="107"/>
    </row>
    <row r="101" spans="1:29" s="101" customFormat="1" ht="6" hidden="1" customHeight="1" x14ac:dyDescent="0.3">
      <c r="B101" s="126"/>
      <c r="C101" s="126"/>
      <c r="D101" s="126"/>
      <c r="E101" s="126"/>
      <c r="F101" s="126"/>
      <c r="G101" s="126"/>
      <c r="H101" s="126"/>
      <c r="I101" s="126"/>
      <c r="J101" s="126"/>
      <c r="K101" s="126"/>
      <c r="L101" s="132"/>
      <c r="M101" s="132"/>
      <c r="N101" s="132"/>
      <c r="O101" s="132"/>
      <c r="P101" s="131"/>
      <c r="Q101" s="126"/>
      <c r="R101" s="126"/>
      <c r="S101" s="132"/>
      <c r="T101" s="132"/>
      <c r="U101" s="132"/>
      <c r="V101" s="132"/>
      <c r="W101" s="131"/>
      <c r="X101" s="131"/>
      <c r="Y101" s="131"/>
      <c r="Z101" s="131"/>
      <c r="AA101" s="131"/>
      <c r="AB101" s="107"/>
    </row>
    <row r="102" spans="1:29" s="101" customFormat="1" ht="14.4" hidden="1" x14ac:dyDescent="0.3">
      <c r="B102" s="176" t="s">
        <v>159</v>
      </c>
      <c r="C102" s="176"/>
      <c r="D102" s="176"/>
      <c r="E102" s="176"/>
      <c r="F102" s="176"/>
      <c r="G102" s="176"/>
      <c r="H102" s="176"/>
      <c r="I102" s="176"/>
      <c r="J102" s="176"/>
      <c r="K102" s="163"/>
      <c r="L102" s="163"/>
      <c r="M102" s="163"/>
      <c r="N102" s="163"/>
      <c r="O102" s="163"/>
      <c r="P102" s="163"/>
      <c r="Q102" s="163"/>
      <c r="R102" s="163"/>
      <c r="S102" s="163"/>
      <c r="T102" s="163"/>
      <c r="U102" s="163"/>
      <c r="V102" s="163"/>
      <c r="W102" s="163"/>
      <c r="X102" s="163"/>
      <c r="Y102" s="163"/>
      <c r="Z102" s="163"/>
      <c r="AA102" s="163"/>
      <c r="AB102" s="131"/>
    </row>
    <row r="103" spans="1:29" s="101" customFormat="1" ht="6" hidden="1" customHeight="1" x14ac:dyDescent="0.3">
      <c r="B103" s="126"/>
      <c r="C103" s="126"/>
      <c r="D103" s="126"/>
      <c r="E103" s="126"/>
      <c r="F103" s="126"/>
      <c r="G103" s="126"/>
      <c r="H103" s="126"/>
      <c r="I103" s="126"/>
      <c r="J103" s="126"/>
      <c r="K103" s="126"/>
      <c r="L103" s="132"/>
      <c r="M103" s="132"/>
      <c r="N103" s="132"/>
      <c r="O103" s="132"/>
      <c r="P103" s="131"/>
      <c r="Q103" s="126"/>
      <c r="R103" s="126"/>
      <c r="S103" s="132"/>
      <c r="T103" s="132"/>
      <c r="U103" s="132"/>
      <c r="V103" s="132"/>
      <c r="W103" s="131"/>
      <c r="X103" s="131"/>
      <c r="Y103" s="131"/>
      <c r="Z103" s="131"/>
      <c r="AA103" s="131"/>
      <c r="AB103" s="131"/>
    </row>
    <row r="104" spans="1:29" s="101" customFormat="1" ht="14.4" hidden="1" x14ac:dyDescent="0.3">
      <c r="B104" s="176" t="s">
        <v>160</v>
      </c>
      <c r="C104" s="176"/>
      <c r="D104" s="176"/>
      <c r="E104" s="176"/>
      <c r="F104" s="176"/>
      <c r="G104" s="176"/>
      <c r="H104" s="176"/>
      <c r="I104" s="176"/>
      <c r="J104" s="176"/>
      <c r="K104" s="176"/>
      <c r="L104" s="176"/>
      <c r="M104" s="176"/>
      <c r="N104" s="176"/>
      <c r="O104" s="176"/>
      <c r="P104" s="177" t="s">
        <v>16</v>
      </c>
      <c r="Q104" s="177"/>
      <c r="R104" s="177"/>
      <c r="S104" s="132"/>
      <c r="T104" s="95"/>
      <c r="U104" s="95"/>
      <c r="V104" s="95"/>
      <c r="W104" s="131"/>
      <c r="X104" s="131"/>
      <c r="Y104" s="131"/>
      <c r="Z104" s="131"/>
      <c r="AA104" s="131"/>
      <c r="AB104" s="131"/>
    </row>
    <row r="105" spans="1:29" s="101" customFormat="1" ht="6" hidden="1" customHeight="1" x14ac:dyDescent="0.3">
      <c r="B105" s="126"/>
      <c r="C105" s="126"/>
      <c r="D105" s="126"/>
      <c r="E105" s="126"/>
      <c r="F105" s="126"/>
      <c r="G105" s="126"/>
      <c r="H105" s="126"/>
      <c r="I105" s="126"/>
      <c r="J105" s="126"/>
      <c r="K105" s="126"/>
      <c r="L105" s="132"/>
      <c r="M105" s="132"/>
      <c r="N105" s="132"/>
      <c r="O105" s="132"/>
      <c r="P105" s="131"/>
      <c r="Q105" s="126"/>
      <c r="R105" s="126"/>
      <c r="S105" s="132"/>
      <c r="T105" s="132"/>
      <c r="U105" s="132"/>
      <c r="V105" s="132"/>
      <c r="W105" s="131"/>
      <c r="X105" s="131"/>
      <c r="Y105" s="131"/>
      <c r="Z105" s="131"/>
      <c r="AA105" s="131"/>
      <c r="AB105" s="131"/>
    </row>
    <row r="106" spans="1:29" s="101" customFormat="1" ht="14.4" hidden="1" x14ac:dyDescent="0.3">
      <c r="B106" s="126" t="s">
        <v>27</v>
      </c>
      <c r="C106" s="126"/>
      <c r="D106" s="126"/>
      <c r="E106" s="126"/>
      <c r="F106" s="126"/>
      <c r="G106" s="126"/>
      <c r="H106" s="126"/>
      <c r="I106" s="126"/>
      <c r="J106" s="126"/>
      <c r="K106" s="126"/>
      <c r="L106" s="132"/>
      <c r="M106" s="177"/>
      <c r="N106" s="177"/>
      <c r="O106" s="177"/>
      <c r="P106" s="177"/>
      <c r="Q106" s="177"/>
      <c r="R106" s="177"/>
      <c r="S106" s="177"/>
      <c r="T106" s="177"/>
      <c r="U106" s="177"/>
      <c r="V106" s="177"/>
      <c r="W106" s="177"/>
      <c r="X106" s="177"/>
      <c r="Y106" s="177"/>
      <c r="Z106" s="177"/>
      <c r="AA106" s="177"/>
      <c r="AB106" s="131"/>
    </row>
    <row r="107" spans="1:29" s="101" customFormat="1" ht="6" hidden="1" customHeight="1" x14ac:dyDescent="0.3">
      <c r="B107" s="126"/>
      <c r="C107" s="126"/>
      <c r="D107" s="126"/>
      <c r="E107" s="126"/>
      <c r="F107" s="126"/>
      <c r="G107" s="126"/>
      <c r="H107" s="126"/>
      <c r="I107" s="126"/>
      <c r="J107" s="126"/>
      <c r="K107" s="126"/>
      <c r="L107" s="132"/>
      <c r="M107" s="132"/>
      <c r="N107" s="132"/>
      <c r="O107" s="132"/>
      <c r="P107" s="132"/>
      <c r="Q107" s="132"/>
      <c r="R107" s="132"/>
      <c r="S107" s="132"/>
      <c r="T107" s="132"/>
      <c r="U107" s="132"/>
      <c r="V107" s="132"/>
      <c r="W107" s="132"/>
      <c r="X107" s="132"/>
      <c r="Y107" s="132"/>
      <c r="Z107" s="132"/>
      <c r="AA107" s="132"/>
    </row>
    <row r="108" spans="1:29" s="101" customFormat="1" ht="14.4" hidden="1" x14ac:dyDescent="0.3">
      <c r="B108" s="163"/>
      <c r="C108" s="163"/>
      <c r="D108" s="163"/>
      <c r="E108" s="163"/>
      <c r="F108" s="163"/>
      <c r="G108" s="163"/>
      <c r="H108" s="163"/>
      <c r="I108" s="163"/>
      <c r="J108" s="163"/>
      <c r="K108" s="163"/>
      <c r="L108" s="163"/>
      <c r="M108" s="163"/>
      <c r="N108" s="163"/>
      <c r="O108" s="163"/>
      <c r="P108" s="163"/>
      <c r="Q108" s="163"/>
      <c r="R108" s="163"/>
      <c r="S108" s="163"/>
      <c r="T108" s="163"/>
      <c r="U108" s="163"/>
      <c r="V108" s="163"/>
      <c r="W108" s="163"/>
      <c r="X108" s="163"/>
      <c r="Y108" s="163"/>
      <c r="Z108" s="163"/>
      <c r="AA108" s="163"/>
    </row>
    <row r="109" spans="1:29" ht="9" hidden="1" customHeight="1" x14ac:dyDescent="0.3">
      <c r="B109" s="126"/>
      <c r="C109" s="126"/>
      <c r="D109" s="126"/>
      <c r="E109" s="126"/>
      <c r="F109" s="126"/>
      <c r="G109" s="126"/>
      <c r="H109" s="126"/>
      <c r="I109" s="126"/>
      <c r="J109" s="126"/>
      <c r="K109" s="126"/>
      <c r="L109" s="132"/>
      <c r="M109" s="132"/>
      <c r="N109" s="132"/>
      <c r="O109" s="132"/>
      <c r="P109" s="101"/>
      <c r="Q109" s="126"/>
      <c r="R109" s="126"/>
      <c r="S109" s="132"/>
      <c r="T109" s="132"/>
      <c r="U109" s="132"/>
      <c r="V109" s="132"/>
      <c r="W109" s="101"/>
      <c r="X109" s="101"/>
      <c r="Y109" s="101"/>
      <c r="Z109" s="101"/>
      <c r="AA109" s="101"/>
      <c r="AB109" s="101"/>
      <c r="AC109" s="126"/>
    </row>
    <row r="110" spans="1:29" ht="15" hidden="1" customHeight="1" x14ac:dyDescent="0.3">
      <c r="B110" s="154" t="str">
        <f>IF(W96=M98,"Datos de contacto para la facturación","Datos de contacto para la facturación de la funcionalidad")</f>
        <v>Datos de contacto para la facturación</v>
      </c>
      <c r="C110" s="154"/>
      <c r="D110" s="154"/>
      <c r="E110" s="154"/>
      <c r="F110" s="154"/>
      <c r="G110" s="154"/>
      <c r="H110" s="154"/>
      <c r="I110" s="154"/>
      <c r="J110" s="154"/>
      <c r="K110" s="154"/>
      <c r="L110" s="154"/>
      <c r="M110" s="154"/>
      <c r="N110" s="154"/>
      <c r="O110" s="154"/>
      <c r="P110" s="154"/>
      <c r="Q110" s="154"/>
      <c r="R110" s="154"/>
      <c r="S110" s="154"/>
      <c r="T110" s="154"/>
      <c r="U110" s="154"/>
      <c r="V110" s="154"/>
      <c r="W110" s="154"/>
      <c r="X110" s="154"/>
      <c r="Y110" s="154"/>
      <c r="Z110" s="154"/>
      <c r="AA110" s="154"/>
      <c r="AB110" s="93"/>
    </row>
    <row r="111" spans="1:29" ht="14.25" hidden="1" customHeight="1" x14ac:dyDescent="0.3">
      <c r="A111" s="95"/>
      <c r="B111" s="161" t="s">
        <v>28</v>
      </c>
      <c r="C111" s="161"/>
      <c r="D111" s="161"/>
      <c r="E111" s="161"/>
      <c r="F111" s="161"/>
      <c r="G111" s="161"/>
      <c r="H111" s="161"/>
      <c r="I111" s="161"/>
      <c r="J111" s="161"/>
      <c r="K111" s="161"/>
      <c r="L111" s="161"/>
      <c r="M111" s="161"/>
      <c r="N111" s="161"/>
      <c r="O111" s="161"/>
      <c r="P111" s="161"/>
      <c r="Q111" s="161"/>
      <c r="R111" s="161"/>
      <c r="S111" s="161"/>
      <c r="T111" s="161"/>
      <c r="U111" s="161"/>
      <c r="V111" s="161"/>
      <c r="W111" s="161"/>
      <c r="X111" s="161"/>
      <c r="Y111" s="161"/>
      <c r="Z111" s="161"/>
      <c r="AA111" s="161"/>
      <c r="AB111" s="93"/>
    </row>
    <row r="112" spans="1:29" ht="6" hidden="1" customHeight="1" x14ac:dyDescent="0.3">
      <c r="A112" s="95"/>
      <c r="B112" s="117"/>
      <c r="C112" s="117"/>
      <c r="D112" s="117"/>
      <c r="E112" s="117"/>
      <c r="F112" s="117"/>
      <c r="G112" s="117"/>
      <c r="H112" s="117"/>
      <c r="I112" s="117"/>
      <c r="J112" s="117"/>
      <c r="K112" s="117"/>
      <c r="L112" s="117"/>
      <c r="M112" s="117"/>
      <c r="N112" s="117"/>
      <c r="O112" s="117"/>
      <c r="P112" s="117"/>
      <c r="Q112" s="117"/>
      <c r="R112" s="117"/>
      <c r="S112" s="117"/>
      <c r="T112" s="117"/>
      <c r="U112" s="117"/>
      <c r="V112" s="117"/>
      <c r="W112" s="117"/>
      <c r="X112" s="117"/>
      <c r="Y112" s="117"/>
      <c r="Z112" s="117"/>
      <c r="AA112" s="117"/>
      <c r="AB112" s="93"/>
    </row>
    <row r="113" spans="1:31" ht="15" hidden="1" customHeight="1" x14ac:dyDescent="0.3">
      <c r="A113" s="95"/>
      <c r="B113" s="157" t="s">
        <v>161</v>
      </c>
      <c r="C113" s="157"/>
      <c r="D113" s="157"/>
      <c r="E113" s="157"/>
      <c r="F113" s="157"/>
      <c r="G113" s="157"/>
      <c r="H113" s="157"/>
      <c r="I113" s="157"/>
      <c r="J113" s="157"/>
      <c r="K113" s="157"/>
      <c r="L113" s="162"/>
      <c r="M113" s="162"/>
      <c r="N113" s="162"/>
      <c r="O113" s="162"/>
      <c r="P113" s="162"/>
      <c r="Q113" s="162"/>
      <c r="R113" s="162"/>
      <c r="S113" s="162"/>
      <c r="T113" s="162"/>
      <c r="U113" s="162"/>
      <c r="V113" s="162"/>
      <c r="W113" s="162"/>
      <c r="X113" s="162"/>
      <c r="Y113" s="162"/>
      <c r="Z113" s="162"/>
      <c r="AA113" s="162"/>
      <c r="AB113" s="93"/>
    </row>
    <row r="114" spans="1:31" ht="6" hidden="1" customHeight="1" x14ac:dyDescent="0.3">
      <c r="A114" s="95"/>
      <c r="B114" s="95"/>
      <c r="C114" s="95"/>
      <c r="D114" s="95"/>
      <c r="E114" s="107"/>
      <c r="F114" s="107"/>
      <c r="G114" s="107"/>
      <c r="H114" s="107"/>
      <c r="I114" s="107"/>
      <c r="J114" s="107"/>
      <c r="K114" s="107"/>
      <c r="L114" s="107"/>
      <c r="M114" s="107"/>
      <c r="N114" s="107"/>
      <c r="O114" s="107"/>
      <c r="P114" s="107"/>
      <c r="Q114" s="95"/>
      <c r="R114" s="95"/>
      <c r="S114" s="95"/>
      <c r="T114" s="107"/>
      <c r="U114" s="107"/>
      <c r="V114" s="107"/>
      <c r="W114" s="107"/>
      <c r="X114" s="107"/>
      <c r="Y114" s="107"/>
      <c r="Z114" s="107"/>
      <c r="AA114" s="107"/>
      <c r="AB114" s="93"/>
    </row>
    <row r="115" spans="1:31" ht="15" hidden="1" customHeight="1" x14ac:dyDescent="0.3">
      <c r="A115" s="95"/>
      <c r="B115" s="157" t="s">
        <v>162</v>
      </c>
      <c r="C115" s="157"/>
      <c r="D115" s="157"/>
      <c r="E115" s="162"/>
      <c r="F115" s="162"/>
      <c r="G115" s="162"/>
      <c r="H115" s="162"/>
      <c r="I115" s="162"/>
      <c r="J115" s="162"/>
      <c r="K115" s="162"/>
      <c r="L115" s="162"/>
      <c r="M115" s="162"/>
      <c r="N115" s="162"/>
      <c r="O115" s="162"/>
      <c r="P115" s="162"/>
      <c r="Q115" s="95"/>
      <c r="R115" s="157" t="s">
        <v>163</v>
      </c>
      <c r="S115" s="157"/>
      <c r="T115" s="162"/>
      <c r="U115" s="162"/>
      <c r="V115" s="162"/>
      <c r="W115" s="162"/>
      <c r="X115" s="162"/>
      <c r="Y115" s="162"/>
      <c r="Z115" s="162"/>
      <c r="AA115" s="162"/>
      <c r="AB115" s="93"/>
    </row>
    <row r="116" spans="1:31" ht="6" hidden="1" customHeight="1" x14ac:dyDescent="0.3">
      <c r="A116" s="95"/>
      <c r="B116" s="95"/>
      <c r="C116" s="95"/>
      <c r="D116" s="95"/>
      <c r="E116" s="95"/>
      <c r="F116" s="95"/>
      <c r="G116" s="95"/>
      <c r="H116" s="95"/>
      <c r="I116" s="95"/>
      <c r="J116" s="95"/>
      <c r="K116" s="95"/>
      <c r="L116" s="95"/>
      <c r="M116" s="95"/>
      <c r="N116" s="95"/>
      <c r="O116" s="95"/>
      <c r="P116" s="95"/>
      <c r="Q116" s="95"/>
      <c r="R116" s="95"/>
      <c r="S116" s="95"/>
      <c r="T116" s="95"/>
      <c r="U116" s="95"/>
      <c r="V116" s="95"/>
      <c r="W116" s="95"/>
      <c r="X116" s="95"/>
      <c r="Y116" s="95"/>
      <c r="Z116" s="95"/>
      <c r="AB116" s="93"/>
    </row>
    <row r="117" spans="1:31" ht="15" hidden="1" customHeight="1" x14ac:dyDescent="0.3">
      <c r="A117" s="95"/>
      <c r="B117" s="157" t="s">
        <v>164</v>
      </c>
      <c r="C117" s="157"/>
      <c r="D117" s="157"/>
      <c r="E117" s="163"/>
      <c r="F117" s="163"/>
      <c r="G117" s="163"/>
      <c r="H117" s="163"/>
      <c r="I117" s="127"/>
      <c r="J117" s="176" t="s">
        <v>165</v>
      </c>
      <c r="K117" s="176"/>
      <c r="L117" s="176"/>
      <c r="M117" s="176"/>
      <c r="N117" s="176"/>
      <c r="O117" s="176"/>
      <c r="P117" s="176"/>
      <c r="Q117" s="176"/>
      <c r="R117" s="162"/>
      <c r="S117" s="162"/>
      <c r="T117" s="162"/>
      <c r="U117" s="162"/>
      <c r="V117" s="162"/>
      <c r="W117" s="162"/>
      <c r="X117" s="162"/>
      <c r="Y117" s="162"/>
      <c r="Z117" s="162"/>
      <c r="AA117" s="162"/>
      <c r="AB117" s="127"/>
    </row>
    <row r="118" spans="1:31" ht="9" hidden="1" customHeight="1" x14ac:dyDescent="0.3">
      <c r="B118" s="95"/>
      <c r="C118" s="95"/>
      <c r="D118" s="95"/>
      <c r="E118" s="95"/>
      <c r="F118" s="95"/>
      <c r="G118" s="95"/>
      <c r="H118" s="95"/>
      <c r="I118" s="95"/>
      <c r="J118" s="95"/>
      <c r="K118" s="95"/>
      <c r="L118" s="95"/>
      <c r="M118" s="95"/>
      <c r="N118" s="95"/>
      <c r="O118" s="95"/>
      <c r="P118" s="95"/>
      <c r="Q118" s="95"/>
      <c r="R118" s="95"/>
      <c r="S118" s="95"/>
      <c r="T118" s="95"/>
      <c r="U118" s="95"/>
      <c r="V118" s="95"/>
      <c r="W118" s="95"/>
      <c r="X118" s="95"/>
      <c r="Y118" s="95"/>
      <c r="Z118" s="99"/>
      <c r="AA118" s="99"/>
      <c r="AB118" s="93"/>
    </row>
    <row r="119" spans="1:31" hidden="1" x14ac:dyDescent="0.3">
      <c r="AB119" s="93"/>
    </row>
    <row r="120" spans="1:31" ht="15" hidden="1" customHeight="1" x14ac:dyDescent="0.3">
      <c r="B120" s="154" t="str">
        <f>IF(W96=M98,"Datos de contacto para la facturación","Datos de contacto para la facturación del plan transaccional")</f>
        <v>Datos de contacto para la facturación</v>
      </c>
      <c r="C120" s="154"/>
      <c r="D120" s="154"/>
      <c r="E120" s="154"/>
      <c r="F120" s="154"/>
      <c r="G120" s="154"/>
      <c r="H120" s="154"/>
      <c r="I120" s="154"/>
      <c r="J120" s="154"/>
      <c r="K120" s="154"/>
      <c r="L120" s="154"/>
      <c r="M120" s="154"/>
      <c r="N120" s="154"/>
      <c r="O120" s="154"/>
      <c r="P120" s="154"/>
      <c r="Q120" s="154"/>
      <c r="R120" s="154"/>
      <c r="S120" s="154"/>
      <c r="T120" s="154"/>
      <c r="U120" s="154"/>
      <c r="V120" s="154"/>
      <c r="W120" s="154"/>
      <c r="X120" s="154"/>
      <c r="Y120" s="154"/>
      <c r="Z120" s="154"/>
      <c r="AA120" s="154"/>
      <c r="AB120" s="93"/>
    </row>
    <row r="121" spans="1:31" ht="14.25" hidden="1" customHeight="1" x14ac:dyDescent="0.3">
      <c r="A121" s="95"/>
      <c r="B121" s="161" t="s">
        <v>28</v>
      </c>
      <c r="C121" s="161"/>
      <c r="D121" s="161"/>
      <c r="E121" s="161"/>
      <c r="F121" s="161"/>
      <c r="G121" s="161"/>
      <c r="H121" s="161"/>
      <c r="I121" s="161"/>
      <c r="J121" s="161"/>
      <c r="K121" s="161"/>
      <c r="L121" s="161"/>
      <c r="M121" s="161"/>
      <c r="N121" s="161"/>
      <c r="O121" s="161"/>
      <c r="P121" s="161"/>
      <c r="Q121" s="161"/>
      <c r="R121" s="161"/>
      <c r="S121" s="161"/>
      <c r="T121" s="161"/>
      <c r="U121" s="161"/>
      <c r="V121" s="161"/>
      <c r="W121" s="161"/>
      <c r="X121" s="161"/>
      <c r="Y121" s="161"/>
      <c r="Z121" s="161"/>
      <c r="AA121" s="161"/>
      <c r="AB121" s="93"/>
    </row>
    <row r="122" spans="1:31" ht="6" hidden="1" customHeight="1" x14ac:dyDescent="0.3">
      <c r="A122" s="95"/>
      <c r="B122" s="117"/>
      <c r="C122" s="117"/>
      <c r="D122" s="117"/>
      <c r="E122" s="117"/>
      <c r="F122" s="117"/>
      <c r="G122" s="117"/>
      <c r="H122" s="117"/>
      <c r="I122" s="117"/>
      <c r="J122" s="117"/>
      <c r="K122" s="117"/>
      <c r="L122" s="117"/>
      <c r="M122" s="117"/>
      <c r="N122" s="117"/>
      <c r="O122" s="117"/>
      <c r="P122" s="117"/>
      <c r="Q122" s="117"/>
      <c r="R122" s="117"/>
      <c r="S122" s="117"/>
      <c r="T122" s="117"/>
      <c r="U122" s="117"/>
      <c r="V122" s="117"/>
      <c r="W122" s="117"/>
      <c r="X122" s="117"/>
      <c r="Y122" s="117"/>
      <c r="Z122" s="117"/>
      <c r="AA122" s="117"/>
      <c r="AC122" s="107"/>
      <c r="AD122" s="107"/>
      <c r="AE122" s="107"/>
    </row>
    <row r="123" spans="1:31" ht="15" hidden="1" customHeight="1" x14ac:dyDescent="0.3">
      <c r="A123" s="95"/>
      <c r="B123" s="157" t="s">
        <v>161</v>
      </c>
      <c r="C123" s="157"/>
      <c r="D123" s="157"/>
      <c r="E123" s="157"/>
      <c r="F123" s="157"/>
      <c r="G123" s="157"/>
      <c r="H123" s="157"/>
      <c r="I123" s="157"/>
      <c r="J123" s="157"/>
      <c r="K123" s="157"/>
      <c r="L123" s="162"/>
      <c r="M123" s="162"/>
      <c r="N123" s="162"/>
      <c r="O123" s="162"/>
      <c r="P123" s="162"/>
      <c r="Q123" s="162"/>
      <c r="R123" s="162"/>
      <c r="S123" s="162"/>
      <c r="T123" s="162"/>
      <c r="U123" s="162"/>
      <c r="V123" s="162"/>
      <c r="W123" s="162"/>
      <c r="X123" s="162"/>
      <c r="Y123" s="162"/>
      <c r="Z123" s="162"/>
      <c r="AA123" s="162"/>
      <c r="AB123" s="93"/>
      <c r="AC123" s="126"/>
    </row>
    <row r="124" spans="1:31" ht="6" hidden="1" customHeight="1" x14ac:dyDescent="0.3">
      <c r="A124" s="95"/>
      <c r="B124" s="95"/>
      <c r="C124" s="95"/>
      <c r="D124" s="95"/>
      <c r="E124" s="107"/>
      <c r="F124" s="107"/>
      <c r="G124" s="107"/>
      <c r="H124" s="107"/>
      <c r="I124" s="107"/>
      <c r="J124" s="107"/>
      <c r="K124" s="107"/>
      <c r="L124" s="107"/>
      <c r="M124" s="107"/>
      <c r="N124" s="107"/>
      <c r="O124" s="107"/>
      <c r="P124" s="107"/>
      <c r="Q124" s="95"/>
      <c r="R124" s="95"/>
      <c r="S124" s="95"/>
      <c r="T124" s="107"/>
      <c r="U124" s="107"/>
      <c r="V124" s="107"/>
      <c r="W124" s="107"/>
      <c r="X124" s="107"/>
      <c r="Y124" s="107"/>
      <c r="Z124" s="107"/>
      <c r="AA124" s="107"/>
      <c r="AB124" s="99"/>
      <c r="AC124" s="126"/>
    </row>
    <row r="125" spans="1:31" ht="15" hidden="1" customHeight="1" x14ac:dyDescent="0.3">
      <c r="A125" s="95"/>
      <c r="B125" s="157" t="s">
        <v>162</v>
      </c>
      <c r="C125" s="157"/>
      <c r="D125" s="157"/>
      <c r="E125" s="162"/>
      <c r="F125" s="162"/>
      <c r="G125" s="162"/>
      <c r="H125" s="162"/>
      <c r="I125" s="162"/>
      <c r="J125" s="162"/>
      <c r="K125" s="162"/>
      <c r="L125" s="162"/>
      <c r="M125" s="162"/>
      <c r="N125" s="162"/>
      <c r="O125" s="162"/>
      <c r="P125" s="162"/>
      <c r="Q125" s="95"/>
      <c r="R125" s="157" t="s">
        <v>163</v>
      </c>
      <c r="S125" s="157"/>
      <c r="T125" s="162"/>
      <c r="U125" s="162"/>
      <c r="V125" s="162"/>
      <c r="W125" s="162"/>
      <c r="X125" s="162"/>
      <c r="Y125" s="162"/>
      <c r="Z125" s="162"/>
      <c r="AA125" s="162"/>
      <c r="AB125" s="99"/>
      <c r="AC125" s="126"/>
    </row>
    <row r="126" spans="1:31" ht="6" hidden="1" customHeight="1" x14ac:dyDescent="0.3">
      <c r="A126" s="95"/>
      <c r="B126" s="95"/>
      <c r="C126" s="95"/>
      <c r="D126" s="95"/>
      <c r="E126" s="95"/>
      <c r="F126" s="95"/>
      <c r="G126" s="95"/>
      <c r="H126" s="95"/>
      <c r="I126" s="95"/>
      <c r="J126" s="95"/>
      <c r="K126" s="95"/>
      <c r="L126" s="95"/>
      <c r="M126" s="95"/>
      <c r="N126" s="95"/>
      <c r="O126" s="95"/>
      <c r="P126" s="95"/>
      <c r="Q126" s="95"/>
      <c r="R126" s="95"/>
      <c r="S126" s="95"/>
      <c r="T126" s="95"/>
      <c r="U126" s="95"/>
      <c r="V126" s="95"/>
      <c r="W126" s="95"/>
      <c r="X126" s="95"/>
      <c r="Y126" s="95"/>
      <c r="Z126" s="95"/>
      <c r="AB126" s="99"/>
      <c r="AC126" s="126"/>
    </row>
    <row r="127" spans="1:31" ht="15" hidden="1" customHeight="1" x14ac:dyDescent="0.3">
      <c r="A127" s="95"/>
      <c r="B127" s="157" t="s">
        <v>164</v>
      </c>
      <c r="C127" s="157"/>
      <c r="D127" s="157"/>
      <c r="E127" s="327"/>
      <c r="F127" s="327"/>
      <c r="G127" s="327"/>
      <c r="H127" s="327"/>
      <c r="I127" s="127"/>
      <c r="J127" s="176" t="s">
        <v>165</v>
      </c>
      <c r="K127" s="176"/>
      <c r="L127" s="176"/>
      <c r="M127" s="176"/>
      <c r="N127" s="176"/>
      <c r="O127" s="176"/>
      <c r="P127" s="176"/>
      <c r="Q127" s="176"/>
      <c r="R127" s="328"/>
      <c r="S127" s="328"/>
      <c r="T127" s="328"/>
      <c r="U127" s="328"/>
      <c r="V127" s="328"/>
      <c r="W127" s="328"/>
      <c r="X127" s="328"/>
      <c r="Y127" s="328"/>
      <c r="Z127" s="328"/>
      <c r="AA127" s="328"/>
      <c r="AB127" s="127"/>
      <c r="AC127" s="126"/>
    </row>
    <row r="128" spans="1:31" s="103" customFormat="1" ht="9" customHeight="1" x14ac:dyDescent="0.3">
      <c r="B128" s="120"/>
      <c r="C128" s="120"/>
      <c r="D128" s="120"/>
      <c r="E128" s="120"/>
      <c r="F128" s="120"/>
      <c r="G128" s="120"/>
      <c r="H128" s="120"/>
      <c r="I128" s="120"/>
      <c r="J128" s="120"/>
      <c r="K128" s="120"/>
      <c r="L128" s="120"/>
      <c r="M128" s="120"/>
      <c r="N128" s="120"/>
      <c r="O128" s="120"/>
      <c r="P128" s="120"/>
      <c r="Q128" s="120"/>
      <c r="R128" s="120"/>
      <c r="S128" s="120"/>
      <c r="T128" s="120"/>
      <c r="U128" s="120"/>
      <c r="V128" s="120"/>
      <c r="W128" s="120"/>
      <c r="X128" s="120"/>
      <c r="Y128" s="120"/>
      <c r="Z128" s="102"/>
      <c r="AA128" s="102"/>
      <c r="AB128" s="120"/>
      <c r="AC128" s="144"/>
    </row>
    <row r="131" spans="29:30" ht="42.75" customHeight="1" x14ac:dyDescent="0.3">
      <c r="AD131" s="329"/>
    </row>
    <row r="132" spans="29:30" ht="14.4" x14ac:dyDescent="0.3">
      <c r="AC132" s="330"/>
    </row>
  </sheetData>
  <sheetProtection sheet="1" objects="1" scenarios="1"/>
  <dataConsolidate/>
  <customSheetViews>
    <customSheetView guid="{81F0E444-1FDF-4C2C-B330-A1D7F689AA54}" showGridLines="0" showRowCol="0" fitToPage="1">
      <selection activeCell="AC118" sqref="AC118"/>
      <pageMargins left="0.70866141732283472" right="0.70866141732283472" top="0.74803149606299213" bottom="0.74803149606299213" header="0.31496062992125984" footer="0.31496062992125984"/>
      <printOptions horizontalCentered="1"/>
      <pageSetup scale="67" orientation="portrait" r:id="rId1"/>
    </customSheetView>
  </customSheetViews>
  <mergeCells count="211">
    <mergeCell ref="M59:O59"/>
    <mergeCell ref="AE21:AH21"/>
    <mergeCell ref="AJ21:AK21"/>
    <mergeCell ref="K21:O21"/>
    <mergeCell ref="Q21:T21"/>
    <mergeCell ref="E117:H117"/>
    <mergeCell ref="I45:K45"/>
    <mergeCell ref="M45:O45"/>
    <mergeCell ref="Q45:S45"/>
    <mergeCell ref="U45:AB45"/>
    <mergeCell ref="I43:K43"/>
    <mergeCell ref="M43:O43"/>
    <mergeCell ref="Q43:S43"/>
    <mergeCell ref="U43:AB43"/>
    <mergeCell ref="I44:K44"/>
    <mergeCell ref="M44:O44"/>
    <mergeCell ref="Q44:S44"/>
    <mergeCell ref="U44:AB44"/>
    <mergeCell ref="I40:K40"/>
    <mergeCell ref="AC96:AG96"/>
    <mergeCell ref="R98:V98"/>
    <mergeCell ref="B94:AA94"/>
    <mergeCell ref="M98:P98"/>
    <mergeCell ref="B110:AA110"/>
    <mergeCell ref="B86:AC90"/>
    <mergeCell ref="U40:AB40"/>
    <mergeCell ref="I42:K42"/>
    <mergeCell ref="M42:O42"/>
    <mergeCell ref="Q42:S42"/>
    <mergeCell ref="U42:AB42"/>
    <mergeCell ref="B85:AC85"/>
    <mergeCell ref="S100:V100"/>
    <mergeCell ref="B102:J102"/>
    <mergeCell ref="K102:AA102"/>
    <mergeCell ref="I98:L98"/>
    <mergeCell ref="B98:F98"/>
    <mergeCell ref="I78:K78"/>
    <mergeCell ref="M78:O78"/>
    <mergeCell ref="Q78:S78"/>
    <mergeCell ref="U78:AB78"/>
    <mergeCell ref="I50:K50"/>
    <mergeCell ref="M50:O50"/>
    <mergeCell ref="Q50:S50"/>
    <mergeCell ref="U50:AB50"/>
    <mergeCell ref="I76:K76"/>
    <mergeCell ref="M76:O76"/>
    <mergeCell ref="B63:E63"/>
    <mergeCell ref="I59:K59"/>
    <mergeCell ref="B121:AA121"/>
    <mergeCell ref="B123:K123"/>
    <mergeCell ref="L123:AA123"/>
    <mergeCell ref="B125:D125"/>
    <mergeCell ref="B120:AA120"/>
    <mergeCell ref="R117:AA117"/>
    <mergeCell ref="B115:D115"/>
    <mergeCell ref="E115:P115"/>
    <mergeCell ref="R115:S115"/>
    <mergeCell ref="T115:AA115"/>
    <mergeCell ref="J117:Q117"/>
    <mergeCell ref="B65:AA65"/>
    <mergeCell ref="B66:AA66"/>
    <mergeCell ref="B67:D67"/>
    <mergeCell ref="I67:K67"/>
    <mergeCell ref="Q76:S76"/>
    <mergeCell ref="U76:AB76"/>
    <mergeCell ref="I72:K72"/>
    <mergeCell ref="M72:O72"/>
    <mergeCell ref="Q72:S72"/>
    <mergeCell ref="U72:AB72"/>
    <mergeCell ref="I73:K73"/>
    <mergeCell ref="M73:O73"/>
    <mergeCell ref="I74:K74"/>
    <mergeCell ref="M74:O74"/>
    <mergeCell ref="Q74:S74"/>
    <mergeCell ref="U74:AB74"/>
    <mergeCell ref="I68:K68"/>
    <mergeCell ref="M68:O68"/>
    <mergeCell ref="Q68:S68"/>
    <mergeCell ref="I69:K69"/>
    <mergeCell ref="M69:O69"/>
    <mergeCell ref="Q69:S69"/>
    <mergeCell ref="U68:AB68"/>
    <mergeCell ref="I70:K70"/>
    <mergeCell ref="M70:O70"/>
    <mergeCell ref="Q70:S70"/>
    <mergeCell ref="U70:AB70"/>
    <mergeCell ref="I71:K71"/>
    <mergeCell ref="M71:O71"/>
    <mergeCell ref="Q71:S71"/>
    <mergeCell ref="U71:AB71"/>
    <mergeCell ref="Q73:S73"/>
    <mergeCell ref="U73:AB73"/>
    <mergeCell ref="I75:K75"/>
    <mergeCell ref="M75:O75"/>
    <mergeCell ref="Q75:S75"/>
    <mergeCell ref="U75:AB75"/>
    <mergeCell ref="AJ19:AK20"/>
    <mergeCell ref="B21:J21"/>
    <mergeCell ref="E125:P125"/>
    <mergeCell ref="R125:S125"/>
    <mergeCell ref="T125:AA125"/>
    <mergeCell ref="K48:R48"/>
    <mergeCell ref="B52:AC52"/>
    <mergeCell ref="B53:D53"/>
    <mergeCell ref="J100:K100"/>
    <mergeCell ref="L100:O100"/>
    <mergeCell ref="Q100:R100"/>
    <mergeCell ref="T19:AA20"/>
    <mergeCell ref="G25:N25"/>
    <mergeCell ref="Q54:S54"/>
    <mergeCell ref="U54:AB54"/>
    <mergeCell ref="I55:K55"/>
    <mergeCell ref="M55:O55"/>
    <mergeCell ref="Q55:S55"/>
    <mergeCell ref="Q60:S60"/>
    <mergeCell ref="U60:AB60"/>
    <mergeCell ref="B127:D127"/>
    <mergeCell ref="E127:H127"/>
    <mergeCell ref="J127:Q127"/>
    <mergeCell ref="R127:AA127"/>
    <mergeCell ref="B117:D117"/>
    <mergeCell ref="B29:E29"/>
    <mergeCell ref="G29:N29"/>
    <mergeCell ref="B31:J31"/>
    <mergeCell ref="K31:R31"/>
    <mergeCell ref="B48:J48"/>
    <mergeCell ref="I53:K53"/>
    <mergeCell ref="M53:O53"/>
    <mergeCell ref="Q53:S53"/>
    <mergeCell ref="U53:AB53"/>
    <mergeCell ref="I54:K54"/>
    <mergeCell ref="M54:O54"/>
    <mergeCell ref="B104:O104"/>
    <mergeCell ref="P104:R104"/>
    <mergeCell ref="M106:AA106"/>
    <mergeCell ref="B108:AA108"/>
    <mergeCell ref="B111:AA111"/>
    <mergeCell ref="B113:K113"/>
    <mergeCell ref="L113:AA113"/>
    <mergeCell ref="B100:H100"/>
    <mergeCell ref="U55:AB55"/>
    <mergeCell ref="I56:K56"/>
    <mergeCell ref="M56:O56"/>
    <mergeCell ref="Q56:S56"/>
    <mergeCell ref="U56:AB56"/>
    <mergeCell ref="I35:K35"/>
    <mergeCell ref="M35:O35"/>
    <mergeCell ref="Q35:S35"/>
    <mergeCell ref="U35:AB35"/>
    <mergeCell ref="I37:K37"/>
    <mergeCell ref="M37:O37"/>
    <mergeCell ref="Q37:S37"/>
    <mergeCell ref="U37:AB37"/>
    <mergeCell ref="I38:K38"/>
    <mergeCell ref="M38:O38"/>
    <mergeCell ref="Q38:S38"/>
    <mergeCell ref="U38:AB38"/>
    <mergeCell ref="I39:K39"/>
    <mergeCell ref="M39:O39"/>
    <mergeCell ref="Q39:S39"/>
    <mergeCell ref="U39:AB39"/>
    <mergeCell ref="M40:O40"/>
    <mergeCell ref="Q40:S40"/>
    <mergeCell ref="B18:AC18"/>
    <mergeCell ref="B19:R19"/>
    <mergeCell ref="B95:AA95"/>
    <mergeCell ref="B96:I96"/>
    <mergeCell ref="J96:O96"/>
    <mergeCell ref="S96:V96"/>
    <mergeCell ref="W96:AA96"/>
    <mergeCell ref="B23:F23"/>
    <mergeCell ref="P25:Q25"/>
    <mergeCell ref="R25:Y25"/>
    <mergeCell ref="B27:F27"/>
    <mergeCell ref="G27:N27"/>
    <mergeCell ref="I57:K57"/>
    <mergeCell ref="M57:O57"/>
    <mergeCell ref="Q57:S57"/>
    <mergeCell ref="U57:AB57"/>
    <mergeCell ref="I58:K58"/>
    <mergeCell ref="M58:O58"/>
    <mergeCell ref="Q58:S58"/>
    <mergeCell ref="U58:AB58"/>
    <mergeCell ref="Q59:S59"/>
    <mergeCell ref="U59:AB59"/>
    <mergeCell ref="I60:K60"/>
    <mergeCell ref="M60:O60"/>
    <mergeCell ref="B10:J10"/>
    <mergeCell ref="K10:AA10"/>
    <mergeCell ref="M67:O67"/>
    <mergeCell ref="Q67:S67"/>
    <mergeCell ref="U67:AB67"/>
    <mergeCell ref="U69:AB69"/>
    <mergeCell ref="B1:AA1"/>
    <mergeCell ref="B2:AA2"/>
    <mergeCell ref="B4:AC4"/>
    <mergeCell ref="B8:C8"/>
    <mergeCell ref="D8:I8"/>
    <mergeCell ref="K8:R8"/>
    <mergeCell ref="S8:AA8"/>
    <mergeCell ref="S9:AA9"/>
    <mergeCell ref="B11:J11"/>
    <mergeCell ref="K11:AA11"/>
    <mergeCell ref="B14:AC14"/>
    <mergeCell ref="B15:N15"/>
    <mergeCell ref="O15:T15"/>
    <mergeCell ref="V15:AC15"/>
    <mergeCell ref="G23:N23"/>
    <mergeCell ref="B25:F25"/>
    <mergeCell ref="B6:E6"/>
    <mergeCell ref="B17:AC17"/>
  </mergeCells>
  <conditionalFormatting sqref="AE75:AE76 AE69 AE71 AE37:AE38 AE42:AE43 AE78 AE40 AE45 AE34:AE35 AE50">
    <cfRule type="expression" dxfId="182" priority="97">
      <formula>#REF!="Oculto"</formula>
    </cfRule>
  </conditionalFormatting>
  <conditionalFormatting sqref="AE36">
    <cfRule type="expression" dxfId="181" priority="93">
      <formula>#REF!="Oculto"</formula>
    </cfRule>
  </conditionalFormatting>
  <conditionalFormatting sqref="AE41">
    <cfRule type="expression" dxfId="180" priority="92">
      <formula>#REF!="Oculto"</formula>
    </cfRule>
  </conditionalFormatting>
  <conditionalFormatting sqref="AE79">
    <cfRule type="expression" dxfId="179" priority="89">
      <formula>#REF!="Oculto"</formula>
    </cfRule>
  </conditionalFormatting>
  <conditionalFormatting sqref="AE77">
    <cfRule type="expression" dxfId="178" priority="88">
      <formula>#REF!="Oculto"</formula>
    </cfRule>
  </conditionalFormatting>
  <conditionalFormatting sqref="AE39">
    <cfRule type="expression" dxfId="177" priority="87">
      <formula>#REF!="Oculto"</formula>
    </cfRule>
  </conditionalFormatting>
  <conditionalFormatting sqref="AE44">
    <cfRule type="expression" dxfId="176" priority="86">
      <formula>#REF!="Oculto"</formula>
    </cfRule>
  </conditionalFormatting>
  <conditionalFormatting sqref="B37:AB45">
    <cfRule type="expression" dxfId="175" priority="82" stopIfTrue="1">
      <formula>$K$31="Una fecha de vencimiento"</formula>
    </cfRule>
  </conditionalFormatting>
  <conditionalFormatting sqref="B42:AB45">
    <cfRule type="expression" dxfId="174" priority="77" stopIfTrue="1">
      <formula>$K$31="Dos fechas de vencimiento"</formula>
    </cfRule>
  </conditionalFormatting>
  <conditionalFormatting sqref="M70:AB70">
    <cfRule type="expression" dxfId="173" priority="70" stopIfTrue="1">
      <formula>$I$70="No"</formula>
    </cfRule>
    <cfRule type="expression" dxfId="172" priority="71" stopIfTrue="1">
      <formula>$I$70="Seleccione"</formula>
    </cfRule>
  </conditionalFormatting>
  <conditionalFormatting sqref="P76 T76">
    <cfRule type="expression" dxfId="171" priority="60" stopIfTrue="1">
      <formula>$I$76="No"</formula>
    </cfRule>
    <cfRule type="expression" dxfId="170" priority="61" stopIfTrue="1">
      <formula>$I$76="Seleccione"</formula>
    </cfRule>
  </conditionalFormatting>
  <conditionalFormatting sqref="M78:AB78">
    <cfRule type="expression" dxfId="169" priority="54" stopIfTrue="1">
      <formula>$I$78="No"</formula>
    </cfRule>
    <cfRule type="expression" dxfId="168" priority="55" stopIfTrue="1">
      <formula>$I$78="Seleccione"</formula>
    </cfRule>
  </conditionalFormatting>
  <conditionalFormatting sqref="M76:O76">
    <cfRule type="expression" dxfId="167" priority="56" stopIfTrue="1">
      <formula>$I$76="No"</formula>
    </cfRule>
    <cfRule type="expression" dxfId="166" priority="57" stopIfTrue="1">
      <formula>$I$76="Seleccione"</formula>
    </cfRule>
  </conditionalFormatting>
  <conditionalFormatting sqref="M35:AB35">
    <cfRule type="expression" dxfId="165" priority="49" stopIfTrue="1">
      <formula>$I$35="Seleccione"</formula>
    </cfRule>
  </conditionalFormatting>
  <conditionalFormatting sqref="M37:AB37">
    <cfRule type="expression" dxfId="164" priority="48" stopIfTrue="1">
      <formula>$I$37="Seleccione"</formula>
    </cfRule>
  </conditionalFormatting>
  <conditionalFormatting sqref="M38:AB38">
    <cfRule type="expression" dxfId="163" priority="47" stopIfTrue="1">
      <formula>$I$38="Seleccione"</formula>
    </cfRule>
  </conditionalFormatting>
  <conditionalFormatting sqref="M39:AB39">
    <cfRule type="expression" dxfId="162" priority="46" stopIfTrue="1">
      <formula>$I$39="Seleccione"</formula>
    </cfRule>
  </conditionalFormatting>
  <conditionalFormatting sqref="M40:AB40">
    <cfRule type="expression" dxfId="161" priority="45" stopIfTrue="1">
      <formula>$I$40="Seleccione"</formula>
    </cfRule>
  </conditionalFormatting>
  <conditionalFormatting sqref="M42:AB42">
    <cfRule type="expression" dxfId="160" priority="44" stopIfTrue="1">
      <formula>$I$42="Seleccione"</formula>
    </cfRule>
  </conditionalFormatting>
  <conditionalFormatting sqref="M43:AB43">
    <cfRule type="expression" dxfId="159" priority="43" stopIfTrue="1">
      <formula>$I$43="Seleccione"</formula>
    </cfRule>
  </conditionalFormatting>
  <conditionalFormatting sqref="M44:AB44">
    <cfRule type="expression" dxfId="158" priority="38" stopIfTrue="1">
      <formula>$I$44="Seleccione"</formula>
    </cfRule>
  </conditionalFormatting>
  <conditionalFormatting sqref="M45:AB45">
    <cfRule type="expression" dxfId="157" priority="37" stopIfTrue="1">
      <formula>$I$45="Seleccione"</formula>
    </cfRule>
  </conditionalFormatting>
  <conditionalFormatting sqref="B78:AC78">
    <cfRule type="expression" dxfId="156" priority="90" stopIfTrue="1">
      <formula>$G$25="No"</formula>
    </cfRule>
    <cfRule type="expression" dxfId="155" priority="91" stopIfTrue="1">
      <formula>$G$25="Seleccione"</formula>
    </cfRule>
  </conditionalFormatting>
  <conditionalFormatting sqref="B50:AB50">
    <cfRule type="expression" dxfId="154" priority="84" stopIfTrue="1">
      <formula>$K$48="NO"</formula>
    </cfRule>
    <cfRule type="expression" dxfId="153" priority="85" stopIfTrue="1">
      <formula>$K$48="Seleccione"</formula>
    </cfRule>
  </conditionalFormatting>
  <conditionalFormatting sqref="Q21:U21">
    <cfRule type="expression" dxfId="152" priority="40" stopIfTrue="1">
      <formula>$K$21&lt;&gt;"CSV"</formula>
    </cfRule>
  </conditionalFormatting>
  <conditionalFormatting sqref="B106:AA108">
    <cfRule type="expression" dxfId="151" priority="30" stopIfTrue="1">
      <formula>$P$104&lt;&gt;"SI"</formula>
    </cfRule>
  </conditionalFormatting>
  <conditionalFormatting sqref="B120:AA128">
    <cfRule type="expression" dxfId="150" priority="28" stopIfTrue="1">
      <formula>$W$96="- seleccione -"</formula>
    </cfRule>
  </conditionalFormatting>
  <conditionalFormatting sqref="B94:AA97 B99:AA118 G98:P98">
    <cfRule type="expression" dxfId="149" priority="24" stopIfTrue="1">
      <formula>$DH$1="PSE Hosting Portales"</formula>
    </cfRule>
  </conditionalFormatting>
  <conditionalFormatting sqref="AC96:AG96">
    <cfRule type="expression" dxfId="148" priority="23" stopIfTrue="1">
      <formula>$W$96&lt;&gt;"Distribuidor de PSE Hosting"</formula>
    </cfRule>
  </conditionalFormatting>
  <conditionalFormatting sqref="R98:V98">
    <cfRule type="expression" dxfId="147" priority="22" stopIfTrue="1">
      <formula>$M$98&lt;&gt;"Distribuidor de PSE Hosting"</formula>
    </cfRule>
  </conditionalFormatting>
  <conditionalFormatting sqref="B98">
    <cfRule type="expression" dxfId="146" priority="21" stopIfTrue="1">
      <formula>$DH$1="PSE Hosting Portales"</formula>
    </cfRule>
  </conditionalFormatting>
  <conditionalFormatting sqref="B120:AA127">
    <cfRule type="expression" dxfId="145" priority="120" stopIfTrue="1">
      <formula>$W$96=$M$98</formula>
    </cfRule>
  </conditionalFormatting>
  <conditionalFormatting sqref="AC44">
    <cfRule type="expression" dxfId="144" priority="19" stopIfTrue="1">
      <formula>$G$25="No"</formula>
    </cfRule>
    <cfRule type="expression" dxfId="143" priority="20" stopIfTrue="1">
      <formula>$G$25="Seleccione"</formula>
    </cfRule>
  </conditionalFormatting>
  <conditionalFormatting sqref="B65:AB76">
    <cfRule type="expression" dxfId="142" priority="16" stopIfTrue="1">
      <formula>$F$63="NO"</formula>
    </cfRule>
  </conditionalFormatting>
  <conditionalFormatting sqref="T68:T69">
    <cfRule type="expression" dxfId="141" priority="10" stopIfTrue="1">
      <formula>$I$70="No"</formula>
    </cfRule>
    <cfRule type="expression" dxfId="140" priority="11" stopIfTrue="1">
      <formula>$I$70="Seleccione"</formula>
    </cfRule>
  </conditionalFormatting>
  <conditionalFormatting sqref="M68:AB68">
    <cfRule type="expression" dxfId="139" priority="17" stopIfTrue="1">
      <formula>$I$68="No"</formula>
    </cfRule>
    <cfRule type="expression" dxfId="138" priority="18" stopIfTrue="1">
      <formula>$I$68="Seleccione"</formula>
    </cfRule>
  </conditionalFormatting>
  <conditionalFormatting sqref="M71:AB71">
    <cfRule type="expression" dxfId="137" priority="68" stopIfTrue="1">
      <formula>$I$71="No"</formula>
    </cfRule>
    <cfRule type="expression" dxfId="136" priority="69" stopIfTrue="1">
      <formula>$I$71="Seleccione"</formula>
    </cfRule>
  </conditionalFormatting>
  <conditionalFormatting sqref="M72:AB72">
    <cfRule type="expression" dxfId="135" priority="66" stopIfTrue="1">
      <formula>$I$72="No"</formula>
    </cfRule>
    <cfRule type="expression" dxfId="134" priority="67" stopIfTrue="1">
      <formula>$I$72="Seleccione"</formula>
    </cfRule>
  </conditionalFormatting>
  <conditionalFormatting sqref="M73:AB73">
    <cfRule type="expression" dxfId="133" priority="64" stopIfTrue="1">
      <formula>$I$73="No"</formula>
    </cfRule>
    <cfRule type="expression" dxfId="132" priority="65" stopIfTrue="1">
      <formula>$I$73="Seleccione"</formula>
    </cfRule>
  </conditionalFormatting>
  <conditionalFormatting sqref="M74:AB74">
    <cfRule type="expression" dxfId="131" priority="62" stopIfTrue="1">
      <formula>$I$74="No"</formula>
    </cfRule>
    <cfRule type="expression" dxfId="130" priority="63" stopIfTrue="1">
      <formula>$I$74="Seleccione"</formula>
    </cfRule>
  </conditionalFormatting>
  <conditionalFormatting sqref="M75:AB75">
    <cfRule type="expression" dxfId="129" priority="58" stopIfTrue="1">
      <formula>$I$75="No"</formula>
    </cfRule>
    <cfRule type="expression" dxfId="128" priority="59" stopIfTrue="1">
      <formula>$I$75="Seleccione"</formula>
    </cfRule>
  </conditionalFormatting>
  <conditionalFormatting sqref="M76:AB76">
    <cfRule type="expression" dxfId="127" priority="52" stopIfTrue="1">
      <formula>$I$76="No"</formula>
    </cfRule>
    <cfRule type="expression" dxfId="126" priority="53" stopIfTrue="1">
      <formula>$I$76="Seleccione"</formula>
    </cfRule>
  </conditionalFormatting>
  <conditionalFormatting sqref="B35:AB45">
    <cfRule type="expression" dxfId="125" priority="76" stopIfTrue="1">
      <formula>$K$31="Ninguna"</formula>
    </cfRule>
    <cfRule type="expression" dxfId="124" priority="83" stopIfTrue="1">
      <formula>$K$31="Seleccione"</formula>
    </cfRule>
  </conditionalFormatting>
  <conditionalFormatting sqref="B65:AA66">
    <cfRule type="expression" dxfId="123" priority="7" stopIfTrue="1">
      <formula>$F$53="NO"</formula>
    </cfRule>
  </conditionalFormatting>
  <conditionalFormatting sqref="U69:AB69">
    <cfRule type="expression" dxfId="122" priority="1" stopIfTrue="1">
      <formula>$I$70="No"</formula>
    </cfRule>
    <cfRule type="expression" dxfId="121" priority="2" stopIfTrue="1">
      <formula>$I$70="Seleccione"</formula>
    </cfRule>
  </conditionalFormatting>
  <conditionalFormatting sqref="M69:AB69">
    <cfRule type="expression" dxfId="120" priority="8" stopIfTrue="1">
      <formula>$I$69="No"</formula>
    </cfRule>
    <cfRule type="expression" dxfId="119" priority="9" stopIfTrue="1">
      <formula>$I$69="Seleccione"</formula>
    </cfRule>
  </conditionalFormatting>
  <dataValidations xWindow="320" yWindow="380" count="56">
    <dataValidation allowBlank="1" showInputMessage="1" showErrorMessage="1" prompt="De acuerdo con la actividad económica de la empresa indique en que segmento se encuentra de la lista. " sqref="B11:J12" xr:uid="{B41241D2-78BF-4CFD-8685-0E0DCDAC5B20}"/>
    <dataValidation allowBlank="1" showInputMessage="1" showErrorMessage="1" prompt="En este campo podrá incluir una observación que referente a la configuración." sqref="B86" xr:uid="{D76BCBEB-BC47-4951-88BB-B214AB8D6993}"/>
    <dataValidation allowBlank="1" showInputMessage="1" showErrorMessage="1" prompt="Indique el nombre personalizado que tendrá este campo y que visualizará el usuario final durante el pago." sqref="U42:AB45 U78:AB78 U50:AB50 U35:AB35 U37:AB40" xr:uid="{C46D40AB-5E26-4979-8652-9DD7C09DB7D5}"/>
    <dataValidation type="custom" showDropDown="1" showInputMessage="1" showErrorMessage="1" prompt="Esta información es solo informativa a través del archivo plano." sqref="I50:K50" xr:uid="{A823AAD8-A193-4DE0-8F8B-CCEE3CBECC33}">
      <formula1>"""No Aplica"""</formula1>
    </dataValidation>
    <dataValidation allowBlank="1" showInputMessage="1" showErrorMessage="1" prompt="Podrá solicitar incluir una descripción de ayuda a cada campo para que sus clientes la visualicen al momento de la captura de los datos." sqref="U53:AB53 U67:AB67" xr:uid="{6AD03FC0-C727-4F5F-82BA-FEEA3AB74AA6}"/>
    <dataValidation allowBlank="1" showInputMessage="1" showErrorMessage="1" prompt="Especifique el orden que tendrán los campos en el archivo plano y en el proceso de pago. No es posible repetir el orden de los campos." sqref="Q53:S53 Q67:S67" xr:uid="{A64E4A5A-8073-41C6-B6C3-7E11401C7FAB}"/>
    <dataValidation allowBlank="1" showInputMessage="1" showErrorMessage="1" prompt="Esta información siempre debe ser incluida en el archivo plano según el orden seleccionado." sqref="M53:O53 M67:O67" xr:uid="{CD3CA52A-457C-4AFA-9B62-483CCC1CE300}"/>
    <dataValidation type="list" allowBlank="1" showInputMessage="1" showErrorMessage="1" prompt="Información que visualizara el cliente durante el proceso de pago." sqref="I68:K76" xr:uid="{F12CD4A5-7389-4D7B-B371-495DFB96E03E}">
      <formula1>"Seleccione,Visible,Oculto,No"</formula1>
    </dataValidation>
    <dataValidation type="list" allowBlank="1" showInputMessage="1" showErrorMessage="1" prompt="Información que visualizara el cliente durante el proceso de pago." sqref="I78:K78 I35:K35 I42:K45 I37:K40 I54:K60" xr:uid="{0D4F14EE-034F-4F76-B89D-78C452643AFD}">
      <formula1>"Seleccione,Visible,Oculto"</formula1>
    </dataValidation>
    <dataValidation allowBlank="1" showInputMessage="1" showErrorMessage="1" prompt="Puede utilizar más de un código de servicio y direccionar el recaudo a diferentes cuentas, por cada factura. " sqref="B48:J50 K49:V49" xr:uid="{B9A7F2C6-152F-4B41-A69F-9E1986CF29C6}"/>
    <dataValidation allowBlank="1" showInputMessage="1" showErrorMessage="1" prompt="Determina el numero de fechas que tendrán las facturas, estas fechas deben estar acompañadas de un concepto, valor, iva y fecha. _x000a__x000a_Se mostraran las fechas de vencimiento en curso con sus respectivos datos." sqref="B31:J31" xr:uid="{F0A61D90-4D9A-40EC-90D8-D16981DC4F98}"/>
    <dataValidation allowBlank="1" showInputMessage="1" showErrorMessage="1" prompt="Usted puede permitir a su cliente modificar o no el valor total a cancelar de los pagos, permitiendo el ingreso de otro valor." sqref="B29:F29" xr:uid="{83785E50-2F80-4F33-BD3C-653BE566AA55}"/>
    <dataValidation allowBlank="1" showInputMessage="1" showErrorMessage="1" prompt="Usted puede seleccionar si desea que únicamente se pueda realizar un pago a la vez, o un consolidado de varios pagos que su cliente seleccione." sqref="B27:F27" xr:uid="{8EE28BA0-6663-4F6F-818E-C17BD0A3F3C2}"/>
    <dataValidation type="list" allowBlank="1" showInputMessage="1" showErrorMessage="1" prompt="Usted puede seleccionar si desea que únicamente se pueda realizar un pago a la vez, o un consolidado de varios pagos que su cliente seleccione." sqref="G27:N27" xr:uid="{F0E8CE63-C375-4AEE-A4BC-750FD1CCB54A}">
      <formula1>"Seleccione, Realizar un pago, Realizar varios pagos"</formula1>
    </dataValidation>
    <dataValidation allowBlank="1" showInputMessage="1" showErrorMessage="1" prompt="Esta opcion incluirá un campo de validacion, el cual permite parametrizar una contraseña para consultar las facturas." sqref="O25" xr:uid="{86E3DD06-7822-4CB5-A4B7-3EB972E8B7D9}"/>
    <dataValidation type="list" allowBlank="1" showInputMessage="1" showErrorMessage="1" prompt="Esta opcion incluirá un campo de validacion, el cual permite parametrizar una contraseña para consultar las facturas." sqref="G25:N25" xr:uid="{C059F167-3C53-4EF4-8BC3-19E0C88FA132}">
      <formula1>"SI,NO"</formula1>
    </dataValidation>
    <dataValidation allowBlank="1" showInputMessage="1" showErrorMessage="1" prompt="Opción con la cual su cliente podrá realizar la búsqueda de los pagos que tenga pendientes. Recuerde que esta información debe estar en el archivo plano cargado al asistema." sqref="O23" xr:uid="{1F3079C5-7D05-429B-AFEF-AFDA4082023E}"/>
    <dataValidation allowBlank="1" showInputMessage="1" showErrorMessage="1" prompt="El número de facturas generadas serán incluidas dentro del paquete transaccional, por lo cual se recomienda especificar el máximo de veces que se podrá generar una misma factura. " sqref="AJ19:AK20" xr:uid="{B5D1DEEC-D7A6-4A62-BCD2-C788074F7A99}"/>
    <dataValidation allowBlank="1" showInputMessage="1" showErrorMessage="1" prompt="El número de facturas generadas serán incluidas dentro del paquete transaccional, por lo cual se recomienda especificar el máximo de veces que se podrá generar una misma factura." sqref="AJ21:AK21" xr:uid="{4A1372E0-1601-4C73-9F91-E765D70CA4B1}"/>
    <dataValidation allowBlank="1" showInputMessage="1" showErrorMessage="1" prompt="Al utilizar CSV debe indicar que separador de datos seran utilizados en el archivo a cargar, puede indicar |, ;, . u otro tipo de separador de simbolo." sqref="Q21:U21" xr:uid="{42A25694-1BB1-4CB4-8C25-37C6BBC4D1F6}"/>
    <dataValidation type="list" allowBlank="1" showInputMessage="1" showErrorMessage="1" prompt="ACH Colombia debe enviar algun documento adicional para aceptar y cancelar la facura, especifique que documentos u otros requisitos se deben cumplir." sqref="P104:R104" xr:uid="{5785B224-49A0-45E4-9963-84DB9D3D0416}">
      <formula1>"Si, No"</formula1>
    </dataValidation>
    <dataValidation allowBlank="1" showInputMessage="1" showErrorMessage="1" prompt="Este es el costo sin IVA de la funcionalidad y medios de pagos seleccionados. " sqref="B96:G96 J96:O96" xr:uid="{43F943F7-86CA-45BB-9B85-2A15547F5353}"/>
    <dataValidation type="list" allowBlank="1" showInputMessage="1" showErrorMessage="1" prompt="Seleccione el responsable del pago de la funcionalidad." sqref="W96:AA96" xr:uid="{C8F42282-F33C-4DDB-BAFE-F8382D97D65F}">
      <formula1>"Empresa, Banco, Distribuidor Financiero, Distribuidor de PSE Hosting"</formula1>
    </dataValidation>
    <dataValidation allowBlank="1" showInputMessage="1" showErrorMessage="1" prompt="Por favor relacione las fechas estipuladas en su empresa para recibir facturas de cobro." sqref="B100:H100" xr:uid="{48FBA79C-77E5-4F68-8C98-0C48F2647C6F}"/>
    <dataValidation allowBlank="1" showInputMessage="1" showErrorMessage="1" prompt="Si no aplica relacione N/A" sqref="B102:AA102" xr:uid="{318D91BF-5861-4AAB-8BB2-90052A8A1A48}"/>
    <dataValidation allowBlank="1" showInputMessage="1" showErrorMessage="1" prompt="ACH Colombia debe enviar algun documento adicional para aceptar y cancelar la facura, especifique que documentos u otros requisitos se deben cumplir." sqref="B104:O104" xr:uid="{9808869C-A36A-40E7-A66B-EE1D8D3E5E88}"/>
    <dataValidation type="list" allowBlank="1" showInputMessage="1" showErrorMessage="1" error="Dato No Valido" prompt="Para visualizar un ejemplo de la platilla puede dar clic en el vínculo (Seleccione aquí plantillas y colores)." sqref="O15:T15" xr:uid="{F1269590-4A7F-4F9E-ACA3-2089B76CD7CB}">
      <formula1>"Seleccione, Plantilla Tipo 1, Plantilla Tipo 2"</formula1>
    </dataValidation>
    <dataValidation type="list" allowBlank="1" showInputMessage="1" showErrorMessage="1" prompt="Determina el numero de fechas que tendrán las facturas, estas fechas deben estar acompañadas de un concepto, valor, iva y fecha. _x000a__x000a_Se mostraran las fechas de vencimiento en curso con sus respectivos datos." sqref="K31:R31" xr:uid="{25E328C5-7077-475C-AA47-10D7CE4452BC}">
      <formula1>"Seleccione, Ninguna, Una fecha de vencimiento, Dos fechas de vencimiento, Tres fechas de vencimiento"</formula1>
    </dataValidation>
    <dataValidation type="list" allowBlank="1" showInputMessage="1" showErrorMessage="1" prompt="Puede utilizar más de un código de servicio y direccionar el recaudo a diferentes cuentas, por cada factura. " sqref="K48:R48" xr:uid="{25900E35-B5EF-49E8-A673-31C92D983DB9}">
      <formula1>"SI,NO"</formula1>
    </dataValidation>
    <dataValidation type="list" allowBlank="1" showInputMessage="1" showErrorMessage="1" sqref="F99:I99" xr:uid="{49DD34D2-4F98-4A1C-8C56-2551C02916B1}">
      <formula1>"Paquete 100, paquete 500, Paquete 2.000, Paquete 5.000"</formula1>
    </dataValidation>
    <dataValidation showDropDown="1" showInputMessage="1" showErrorMessage="1" sqref="I77:K77 I41:K41 I79:K79 I34:K34 I36 K36" xr:uid="{FA6F3162-B3D0-4E64-B900-36874512EC1A}"/>
    <dataValidation type="list" allowBlank="1" showInputMessage="1" showErrorMessage="1" sqref="K32:O47" xr:uid="{D3D1A0FB-DAF5-4D68-B5D2-D2776B53243E}">
      <formula1>"Seleccione, Una fecha de vencimiento, Dos fechas de vencimiento, Tres fechas de vencimiento"</formula1>
    </dataValidation>
    <dataValidation type="list" allowBlank="1" showInputMessage="1" showErrorMessage="1" sqref="G24:N24" xr:uid="{8C2859AF-2442-4C01-8139-443EF116BABD}">
      <formula1>"Seleccione, Numero de Factura, Identificación del cliente, Identificación cliente en la empresa"</formula1>
    </dataValidation>
    <dataValidation type="list" allowBlank="1" showInputMessage="1" showErrorMessage="1" prompt="Usted puede permitir a su cliente modificar o no el valor total a cancelar de los pagos, permitiendo el ingreso de otro valor." sqref="G29:N29" xr:uid="{F3ABED44-D9CA-4318-ACA4-F47B03CBD6C6}">
      <formula1>"Seleccione, No permitir modificar valores a pagar, Permitir modificar valores a pagar "</formula1>
    </dataValidation>
    <dataValidation type="list" allowBlank="1" showInputMessage="1" showErrorMessage="1" prompt="Opción con la cual su cliente podrá realizar la búsqueda de los pagos que tenga pendientes. Recuerde que esta información debe estar en el archivo plano cargado al asistema." sqref="G23:N23" xr:uid="{646EE55F-E0BE-4E4C-8A45-802D3CB4F483}">
      <formula1>"Seleccione,Numero de Factura:,Identificación del cliente:,Identificación cliente en la empresa:"</formula1>
    </dataValidation>
    <dataValidation type="list" allowBlank="1" showInputMessage="1" showErrorMessage="1" sqref="X99:AA99" xr:uid="{1BECF83D-AF50-4710-9471-0A091146DA35}">
      <formula1>"Empresa, Banco, Aliado estratégico"</formula1>
    </dataValidation>
    <dataValidation allowBlank="1" showInputMessage="1" showErrorMessage="1" prompt="Indica en que formato estara el archivo que se cargara con las facturas, puede inidicar Texto en Columnas, o Excel, para CSV debe indicar el separador por defecto es | pero pude ser cambiado por ; u otro." sqref="B21:J21" xr:uid="{6B2BA8D4-C2F4-4CBB-9293-B515A2905FEB}"/>
    <dataValidation type="list" allowBlank="1" showInputMessage="1" showErrorMessage="1" prompt="Indica en que formato estara el archivo que se cargara con las facturas, puede inidicar Texto en Columnas, o Excel, para CSV debe indicar el separador por defecto es | pero pude ser cambiado por ; u otro. " sqref="K21:O21" xr:uid="{2005645C-AA29-482A-B6DE-8D477B17C67B}">
      <formula1>"CSV,Texto en Columnas, Excel"</formula1>
    </dataValidation>
    <dataValidation type="custom" allowBlank="1" showInputMessage="1" showErrorMessage="1" prompt="Esta información siempre debe ser incluida en el archivo plano según el orden seleccionado." sqref="M54:O59" xr:uid="{FA28A89B-87B9-43F3-9D5D-5AB100D7B59F}">
      <formula1>"Obligatorio"</formula1>
    </dataValidation>
    <dataValidation type="list" allowBlank="1" showInputMessage="1" showErrorMessage="1" prompt="Indica el orden en el cual estaran los datos en el archivo. " sqref="Q34:S34 Q77:S79" xr:uid="{58AA3FFD-AFA4-429F-80ED-2D8D2BD03465}">
      <formula1>"Seleccione,1,2,3,4,5,6,7,8,9,10,11,12,13,14,15,16,17,18,19,20,21,22,23,24,25,26,27"</formula1>
    </dataValidation>
    <dataValidation allowBlank="1" showInputMessage="1" showErrorMessage="1" prompt="Indique el nombre personalizado que tendrá este campo y que visualizará el usuario final durante el pago. _x000a__x000a_Este campo no puede ser igual uno de otro. " sqref="U54:AB60 U68:AB76" xr:uid="{691ACEDE-22F2-4072-84BC-E2687EEC819D}"/>
    <dataValidation type="list" allowBlank="1" showInputMessage="1" showErrorMessage="1" prompt="Seleccione el responsable del pago del Plan Transaccional." sqref="M98:P98" xr:uid="{98A5D8D1-38C6-4E62-A377-B37843B228C2}">
      <formula1>"Empresa, Banco, Distribuidor Financiero, Distribuidor de PSE Hosting"</formula1>
    </dataValidation>
    <dataValidation type="list" allowBlank="1" showInputMessage="1" showErrorMessage="1" prompt="Seleccione el Distribuidor de PSE Hosting a cargo. " sqref="AC96:AG96 R98:V98" xr:uid="{0499857D-2554-4808-9A3B-22BBE390807E}">
      <formula1>DistribuidorHosting</formula1>
    </dataValidation>
    <dataValidation allowBlank="1" showInputMessage="1" showErrorMessage="1" prompt="Este debe coincidir con el código relacionado en la carta de presentación. " sqref="B50" xr:uid="{C9B4704C-08F1-4DC9-89A5-BA878B6C332A}"/>
    <dataValidation allowBlank="1" showInputMessage="1" showErrorMessage="1" prompt="Cobro que se realiza de manera mensual. Su valor dependerá del rango de transacciones consumidas en el mes." sqref="B98" xr:uid="{639258AE-CEB2-4DF1-9CE1-509BF069C8D5}"/>
    <dataValidation type="list" allowBlank="1" showInputMessage="1" showErrorMessage="1" sqref="K12:AA12" xr:uid="{08B35E64-5CA6-416D-B5CA-D622084DC74D}">
      <formula1>INDIRECT(#REF!)</formula1>
    </dataValidation>
    <dataValidation allowBlank="1" showInputMessage="1" showErrorMessage="1" prompt="Logotipo de la compañía (155X96 pixeles; Tamaño: 11 KB; Formato JPG o GIF fondo transparente)_x000a_**En caso de utilizar un logo diferente al de la empresa a vincular, anexar autorización escrita del propietario de la marca comercial. " sqref="B15:N15" xr:uid="{8615A37A-1198-49BD-93C2-917C3FFC2031}"/>
    <dataValidation allowBlank="1" showInputMessage="1" showErrorMessage="1" prompt="Determina el numero de fechas que tendrán las facturas, estas fechas deben estar acompañadas de un concepto, valor, iva y fecha. Se mostraran las fechas de vencimiento en curso con sus respectivos datos. Solo se permite la configuración de tres fechas." sqref="S31" xr:uid="{573015D2-1287-4E0A-8A21-1CC08CB668BC}"/>
    <dataValidation type="custom" allowBlank="1" showInputMessage="1" showErrorMessage="1" sqref="M50:O50 M34:O45 M60:O60 M68:O79" xr:uid="{66C5D19B-6BDD-43DB-BD47-7177D65EDBB0}">
      <formula1>"Obligatorio"</formula1>
    </dataValidation>
    <dataValidation type="list" allowBlank="1" showInputMessage="1" showErrorMessage="1" sqref="F63" xr:uid="{E4F86771-987E-4B62-A024-699C8C227A15}">
      <formula1>"SI, NO"</formula1>
    </dataValidation>
    <dataValidation type="list" allowBlank="1" showInputMessage="1" showErrorMessage="1" prompt="Dato contra el cual la entidad bancaria realizara validación y conciliación de los pagos, generalmente es el mismo número de factura, debe especificarlo. " sqref="AE21:AH21" xr:uid="{308B3EBE-FBB8-4D74-BFA5-A9C2904E0AFE}">
      <formula1>$B$54:$B$76</formula1>
    </dataValidation>
    <dataValidation type="list" allowBlank="1" showInputMessage="1" showErrorMessage="1" sqref="Q36:S36 Q50:S50 Q41:S41" xr:uid="{5AE61C5C-0D84-422B-80F0-BEA1B831B3E0}">
      <formula1>_xlfn.ANCHORARRAY($DK$6)</formula1>
    </dataValidation>
    <dataValidation type="list" allowBlank="1" showInputMessage="1" showErrorMessage="1" error="El numero ya se encuentra en uso" prompt="Seleccione orden de los campos" sqref="Q35:S35" xr:uid="{5474009F-EE5A-45C3-8951-7324DE284D6A}">
      <formula1>_xlfn.ANCHORARRAY($DK$6)</formula1>
    </dataValidation>
    <dataValidation type="list" allowBlank="1" showInputMessage="1" showErrorMessage="1" prompt="Seleccione orden de los campos" sqref="Q37:S37 Q42:S45 Q54:S60 Q68:S76" xr:uid="{AFD24E3C-1760-441D-8998-B3DC5BA574F0}">
      <formula1>_xlfn.ANCHORARRAY($DK$6)</formula1>
    </dataValidation>
    <dataValidation type="list" allowBlank="1" showInputMessage="1" showErrorMessage="1" prompt="Seleccione orden de los campos_x000a_" sqref="Q38:S40" xr:uid="{4C4030BF-DC98-4E7B-A417-25D12B1A477B}">
      <formula1>_xlfn.ANCHORARRAY($DK$6)</formula1>
    </dataValidation>
    <dataValidation type="list" allowBlank="1" showInputMessage="1" showErrorMessage="1" sqref="K11:AA11" xr:uid="{5C463A70-8297-4168-816D-FA9AD99E7F4D}">
      <formula1>INDIRECT($K$10)</formula1>
    </dataValidation>
  </dataValidations>
  <hyperlinks>
    <hyperlink ref="V15:AA15" location="PLANTILLAS!A1" display="(Selección aquí plantillas y colores)" xr:uid="{EDCCA3B1-F8A1-443D-957D-713A52DD3BEE}"/>
    <hyperlink ref="B98:E98" location="Tarifas!A1" display="Cobro transaccional: " xr:uid="{B66EAB40-CC00-4FBA-8815-427074E2F8C6}"/>
  </hyperlinks>
  <printOptions horizontalCentered="1"/>
  <pageMargins left="0.70866141732283472" right="0.70866141732283472" top="0.74803149606299213" bottom="0.74803149606299213" header="0.31496062992125984" footer="0.31496062992125984"/>
  <pageSetup scale="62" orientation="portrait" r:id="rId2"/>
  <headerFooter>
    <oddHeader>&amp;L&amp;"Calibri"&amp;10&amp;K000000 Información de carácter Confidencial&amp;1#_x000D_</oddHeader>
  </headerFooter>
  <drawing r:id="rId3"/>
  <extLst>
    <ext xmlns:x14="http://schemas.microsoft.com/office/spreadsheetml/2009/9/main" uri="{CCE6A557-97BC-4b89-ADB6-D9C93CAAB3DF}">
      <x14:dataValidations xmlns:xm="http://schemas.microsoft.com/office/excel/2006/main" xWindow="320" yWindow="380" count="1">
        <x14:dataValidation type="list" allowBlank="1" showInputMessage="1" showErrorMessage="1" xr:uid="{F51D0151-2EFF-4367-B78C-CAD18D038E83}">
          <x14:formula1>
            <xm:f>DT!$A$2:$A$10</xm:f>
          </x14:formula1>
          <xm:sqref>K10:AA10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321CEA-2A79-43BF-BA03-04A8B39ADA33}">
  <sheetPr codeName="Hoja5">
    <pageSetUpPr fitToPage="1"/>
  </sheetPr>
  <dimension ref="A1:IV110"/>
  <sheetViews>
    <sheetView showGridLines="0" zoomScale="70" zoomScaleNormal="70" workbookViewId="0">
      <selection sqref="A1:AC4"/>
    </sheetView>
  </sheetViews>
  <sheetFormatPr baseColWidth="10" defaultColWidth="11.44140625" defaultRowHeight="13.8" x14ac:dyDescent="0.3"/>
  <cols>
    <col min="1" max="1" width="2.44140625" style="93" customWidth="1"/>
    <col min="2" max="2" width="4" style="93" customWidth="1"/>
    <col min="3" max="3" width="6" style="93" customWidth="1"/>
    <col min="4" max="4" width="3.6640625" style="93" customWidth="1"/>
    <col min="5" max="5" width="4.44140625" style="93" customWidth="1"/>
    <col min="6" max="6" width="3.6640625" style="93" customWidth="1"/>
    <col min="7" max="7" width="3.33203125" style="93" customWidth="1"/>
    <col min="8" max="8" width="7.5546875" style="93" customWidth="1"/>
    <col min="9" max="9" width="5.6640625" style="93" customWidth="1"/>
    <col min="10" max="10" width="10" style="93" customWidth="1"/>
    <col min="11" max="11" width="5.88671875" style="93" customWidth="1"/>
    <col min="12" max="12" width="4.44140625" style="93" customWidth="1"/>
    <col min="13" max="13" width="3.6640625" style="93" customWidth="1"/>
    <col min="14" max="14" width="6" style="93" customWidth="1"/>
    <col min="15" max="17" width="3.6640625" style="93" customWidth="1"/>
    <col min="18" max="18" width="7.88671875" style="93" customWidth="1"/>
    <col min="19" max="24" width="3.6640625" style="93" customWidth="1"/>
    <col min="25" max="25" width="3.44140625" style="93" customWidth="1"/>
    <col min="26" max="26" width="21.88671875" style="93" customWidth="1"/>
    <col min="27" max="27" width="5.6640625" style="95" customWidth="1"/>
    <col min="28" max="28" width="4.109375" style="95" customWidth="1"/>
    <col min="29" max="29" width="6.44140625" style="93" customWidth="1"/>
    <col min="30" max="30" width="8.109375" style="93" customWidth="1"/>
    <col min="31" max="31" width="4.88671875" style="93" customWidth="1"/>
    <col min="32" max="32" width="3.5546875" style="93" customWidth="1"/>
    <col min="33" max="33" width="3.33203125" style="93" customWidth="1"/>
    <col min="34" max="34" width="5.88671875" style="93" customWidth="1"/>
    <col min="35" max="35" width="4.44140625" style="93" customWidth="1"/>
    <col min="36" max="36" width="3.6640625" style="93" customWidth="1"/>
    <col min="37" max="37" width="4.33203125" style="93" customWidth="1"/>
    <col min="38" max="38" width="3.6640625" style="93" customWidth="1"/>
    <col min="39" max="42" width="10.6640625" style="93" customWidth="1"/>
    <col min="43" max="64" width="3.6640625" style="93" customWidth="1"/>
    <col min="65" max="16384" width="11.44140625" style="93"/>
  </cols>
  <sheetData>
    <row r="1" spans="2:256" ht="15.6" x14ac:dyDescent="0.3">
      <c r="B1" s="284"/>
      <c r="C1" s="284"/>
      <c r="D1" s="284"/>
      <c r="E1" s="284"/>
      <c r="F1" s="284"/>
      <c r="G1" s="284"/>
      <c r="H1" s="284"/>
      <c r="I1" s="284"/>
      <c r="J1" s="284"/>
      <c r="K1" s="284"/>
      <c r="L1" s="284"/>
      <c r="M1" s="284"/>
      <c r="N1" s="284"/>
      <c r="O1" s="284"/>
      <c r="P1" s="284"/>
      <c r="Q1" s="284"/>
      <c r="R1" s="284"/>
      <c r="S1" s="284"/>
      <c r="T1" s="284"/>
      <c r="U1" s="284"/>
      <c r="V1" s="284"/>
      <c r="W1" s="284"/>
      <c r="X1" s="284"/>
      <c r="Y1" s="284"/>
      <c r="Z1" s="284"/>
      <c r="AA1" s="284"/>
      <c r="AB1" s="285"/>
      <c r="AC1" s="283"/>
      <c r="AK1" s="289"/>
      <c r="DG1" s="94" t="s">
        <v>297</v>
      </c>
      <c r="DH1" s="94" t="e">
        <f>#REF!</f>
        <v>#REF!</v>
      </c>
    </row>
    <row r="2" spans="2:256" ht="15.6" x14ac:dyDescent="0.3">
      <c r="B2" s="284" t="s">
        <v>64</v>
      </c>
      <c r="C2" s="284"/>
      <c r="D2" s="284"/>
      <c r="E2" s="284"/>
      <c r="F2" s="284"/>
      <c r="G2" s="284"/>
      <c r="H2" s="284"/>
      <c r="I2" s="284"/>
      <c r="J2" s="284"/>
      <c r="K2" s="284"/>
      <c r="L2" s="284"/>
      <c r="M2" s="284"/>
      <c r="N2" s="284"/>
      <c r="O2" s="284"/>
      <c r="P2" s="284"/>
      <c r="Q2" s="284"/>
      <c r="R2" s="284"/>
      <c r="S2" s="284"/>
      <c r="T2" s="284"/>
      <c r="U2" s="284"/>
      <c r="V2" s="284"/>
      <c r="W2" s="284"/>
      <c r="X2" s="284"/>
      <c r="Y2" s="284"/>
      <c r="Z2" s="284"/>
      <c r="AA2" s="284"/>
      <c r="AB2" s="285"/>
      <c r="AC2" s="283"/>
      <c r="AK2" s="289"/>
      <c r="DG2" s="94" t="s">
        <v>298</v>
      </c>
      <c r="DH2" s="94" t="e">
        <f>#REF!</f>
        <v>#REF!</v>
      </c>
    </row>
    <row r="3" spans="2:256" ht="15.6" x14ac:dyDescent="0.3">
      <c r="B3" s="285" t="s">
        <v>182</v>
      </c>
      <c r="C3" s="285"/>
      <c r="D3" s="285"/>
      <c r="E3" s="285"/>
      <c r="F3" s="285"/>
      <c r="G3" s="285"/>
      <c r="H3" s="285"/>
      <c r="I3" s="286"/>
      <c r="J3" s="285" t="s">
        <v>180</v>
      </c>
      <c r="K3" s="285"/>
      <c r="L3" s="285"/>
      <c r="M3" s="285"/>
      <c r="N3" s="285"/>
      <c r="O3" s="285"/>
      <c r="P3" s="285"/>
      <c r="Q3" s="285"/>
      <c r="R3" s="285"/>
      <c r="S3" s="285"/>
      <c r="T3" s="285"/>
      <c r="U3" s="285"/>
      <c r="V3" s="285"/>
      <c r="W3" s="285"/>
      <c r="X3" s="285"/>
      <c r="Y3" s="285"/>
      <c r="Z3" s="287"/>
      <c r="AA3" s="287"/>
      <c r="AB3" s="283"/>
      <c r="AC3" s="283"/>
    </row>
    <row r="4" spans="2:256" ht="15.6" x14ac:dyDescent="0.3">
      <c r="B4" s="288" t="s">
        <v>5</v>
      </c>
      <c r="C4" s="288"/>
      <c r="D4" s="288"/>
      <c r="E4" s="288"/>
      <c r="F4" s="288"/>
      <c r="G4" s="288"/>
      <c r="H4" s="288"/>
      <c r="I4" s="288"/>
      <c r="J4" s="288"/>
      <c r="K4" s="288"/>
      <c r="L4" s="288"/>
      <c r="M4" s="288"/>
      <c r="N4" s="288"/>
      <c r="O4" s="288"/>
      <c r="P4" s="288"/>
      <c r="Q4" s="288"/>
      <c r="R4" s="288"/>
      <c r="S4" s="288"/>
      <c r="T4" s="288"/>
      <c r="U4" s="288"/>
      <c r="V4" s="288"/>
      <c r="W4" s="288"/>
      <c r="X4" s="288"/>
      <c r="Y4" s="288"/>
      <c r="Z4" s="288"/>
      <c r="AA4" s="288"/>
      <c r="AB4" s="288"/>
      <c r="AC4" s="288"/>
      <c r="AK4" s="289"/>
    </row>
    <row r="5" spans="2:256" ht="7.5" customHeight="1" x14ac:dyDescent="0.3">
      <c r="B5" s="95"/>
      <c r="C5" s="95"/>
      <c r="D5" s="95"/>
      <c r="E5" s="95"/>
      <c r="F5" s="95"/>
      <c r="G5" s="95"/>
      <c r="H5" s="95"/>
      <c r="I5" s="95"/>
      <c r="J5" s="95"/>
      <c r="K5" s="95"/>
      <c r="L5" s="95"/>
      <c r="M5" s="95"/>
      <c r="N5" s="95"/>
      <c r="O5" s="95"/>
      <c r="P5" s="95"/>
      <c r="Q5" s="95"/>
      <c r="R5" s="95"/>
      <c r="S5" s="95"/>
      <c r="T5" s="95"/>
      <c r="U5" s="95"/>
      <c r="V5" s="95"/>
      <c r="W5" s="95"/>
      <c r="X5" s="95"/>
      <c r="Y5" s="95"/>
      <c r="Z5" s="95"/>
      <c r="AK5" s="290"/>
    </row>
    <row r="6" spans="2:256" ht="15" customHeight="1" x14ac:dyDescent="0.3">
      <c r="B6" s="145" t="s">
        <v>18</v>
      </c>
      <c r="C6" s="145"/>
      <c r="D6" s="145"/>
      <c r="E6" s="145"/>
      <c r="F6" s="95"/>
      <c r="G6" s="146"/>
      <c r="H6" s="147"/>
      <c r="I6" s="147"/>
      <c r="J6" s="147"/>
      <c r="K6" s="147"/>
      <c r="L6" s="147"/>
      <c r="M6" s="147"/>
      <c r="N6" s="147"/>
      <c r="O6" s="147"/>
      <c r="P6" s="147"/>
      <c r="Q6" s="147"/>
      <c r="R6" s="147"/>
      <c r="S6" s="147"/>
      <c r="T6" s="147"/>
      <c r="U6" s="147"/>
      <c r="V6" s="147"/>
      <c r="W6" s="147"/>
      <c r="X6" s="147"/>
      <c r="Y6" s="147"/>
      <c r="Z6" s="147"/>
      <c r="AA6" s="147"/>
      <c r="AB6" s="5"/>
      <c r="AK6" s="289"/>
    </row>
    <row r="7" spans="2:256" ht="20.399999999999999" customHeight="1" x14ac:dyDescent="0.3">
      <c r="B7" s="161" t="s">
        <v>19</v>
      </c>
      <c r="C7" s="161"/>
      <c r="D7" s="293"/>
      <c r="E7" s="147"/>
      <c r="F7" s="147"/>
      <c r="G7" s="147"/>
      <c r="H7" s="147"/>
      <c r="I7" s="147"/>
      <c r="K7" s="161" t="s">
        <v>20</v>
      </c>
      <c r="L7" s="161"/>
      <c r="M7" s="161"/>
      <c r="N7" s="161"/>
      <c r="O7" s="161"/>
      <c r="P7" s="161"/>
      <c r="Q7" s="161"/>
      <c r="R7" s="161"/>
      <c r="S7" s="187">
        <f ca="1">+TODAY()</f>
        <v>45849</v>
      </c>
      <c r="T7" s="187"/>
      <c r="U7" s="187"/>
      <c r="V7" s="187"/>
      <c r="W7" s="187"/>
      <c r="X7" s="187"/>
      <c r="Y7" s="187"/>
      <c r="Z7" s="187"/>
      <c r="AA7" s="187"/>
      <c r="AK7" s="290"/>
    </row>
    <row r="8" spans="2:256" ht="15.6" customHeight="1" x14ac:dyDescent="0.3">
      <c r="AB8" s="294"/>
      <c r="AD8" s="103"/>
      <c r="AK8" s="290"/>
    </row>
    <row r="9" spans="2:256" x14ac:dyDescent="0.3">
      <c r="B9" s="178" t="s">
        <v>1356</v>
      </c>
      <c r="C9" s="178"/>
      <c r="D9" s="178"/>
      <c r="E9" s="178"/>
      <c r="F9" s="178"/>
      <c r="G9" s="178"/>
      <c r="H9" s="178"/>
      <c r="I9" s="178"/>
      <c r="J9" s="178"/>
      <c r="K9" s="195" t="s">
        <v>0</v>
      </c>
      <c r="L9" s="195"/>
      <c r="M9" s="195"/>
      <c r="N9" s="195"/>
      <c r="O9" s="195"/>
      <c r="P9" s="195"/>
      <c r="Q9" s="195"/>
      <c r="R9" s="195"/>
      <c r="S9" s="195"/>
      <c r="T9" s="195"/>
      <c r="U9" s="195"/>
      <c r="V9" s="195"/>
      <c r="W9" s="195"/>
      <c r="X9" s="195"/>
      <c r="Y9" s="195"/>
      <c r="Z9" s="195"/>
      <c r="AA9" s="195"/>
      <c r="AD9" s="103"/>
    </row>
    <row r="10" spans="2:256" ht="28.8" customHeight="1" x14ac:dyDescent="0.3">
      <c r="B10" s="145" t="s">
        <v>154</v>
      </c>
      <c r="C10" s="145"/>
      <c r="D10" s="145"/>
      <c r="E10" s="145"/>
      <c r="F10" s="145"/>
      <c r="G10" s="145"/>
      <c r="H10" s="145"/>
      <c r="I10" s="145"/>
      <c r="J10" s="145"/>
      <c r="K10" s="147"/>
      <c r="L10" s="147"/>
      <c r="M10" s="147"/>
      <c r="N10" s="147"/>
      <c r="O10" s="147"/>
      <c r="P10" s="147"/>
      <c r="Q10" s="147"/>
      <c r="R10" s="147"/>
      <c r="S10" s="147"/>
      <c r="T10" s="147"/>
      <c r="U10" s="147"/>
      <c r="V10" s="147"/>
      <c r="W10" s="147"/>
      <c r="X10" s="147"/>
      <c r="Y10" s="147"/>
      <c r="Z10" s="147"/>
      <c r="AA10" s="147"/>
      <c r="AB10" s="99"/>
      <c r="AD10" s="103"/>
      <c r="IV10" s="101" t="s">
        <v>239</v>
      </c>
    </row>
    <row r="11" spans="2:256" ht="9" customHeight="1" x14ac:dyDescent="0.3">
      <c r="B11" s="101"/>
      <c r="C11" s="101"/>
      <c r="D11" s="101"/>
      <c r="E11" s="101"/>
      <c r="F11" s="101"/>
      <c r="G11" s="101"/>
      <c r="H11" s="101"/>
      <c r="I11" s="101"/>
      <c r="J11" s="101"/>
      <c r="K11" s="101"/>
      <c r="L11" s="101"/>
      <c r="M11" s="101"/>
      <c r="N11" s="101"/>
      <c r="O11" s="101"/>
      <c r="P11" s="101"/>
      <c r="Q11" s="101"/>
      <c r="R11" s="101"/>
      <c r="S11" s="101"/>
      <c r="T11" s="101"/>
      <c r="U11" s="101"/>
      <c r="V11" s="101"/>
      <c r="W11" s="101"/>
      <c r="X11" s="101"/>
      <c r="Y11" s="101"/>
      <c r="Z11" s="101"/>
      <c r="AA11" s="101"/>
      <c r="AB11" s="99"/>
      <c r="AD11" s="103"/>
      <c r="IV11" s="101" t="s">
        <v>240</v>
      </c>
    </row>
    <row r="12" spans="2:256" ht="15" customHeight="1" x14ac:dyDescent="0.3">
      <c r="B12" s="152" t="s">
        <v>21</v>
      </c>
      <c r="C12" s="152"/>
      <c r="D12" s="152"/>
      <c r="E12" s="152"/>
      <c r="F12" s="152"/>
      <c r="G12" s="152"/>
      <c r="H12" s="152"/>
      <c r="I12" s="152"/>
      <c r="J12" s="152"/>
      <c r="K12" s="152"/>
      <c r="L12" s="152"/>
      <c r="M12" s="152"/>
      <c r="N12" s="152"/>
      <c r="O12" s="152"/>
      <c r="P12" s="152"/>
      <c r="Q12" s="152"/>
      <c r="R12" s="152"/>
      <c r="S12" s="152"/>
      <c r="T12" s="152"/>
      <c r="U12" s="152"/>
      <c r="V12" s="152"/>
      <c r="W12" s="152"/>
      <c r="X12" s="152"/>
      <c r="Y12" s="152"/>
      <c r="Z12" s="152"/>
      <c r="AA12" s="152"/>
      <c r="AB12" s="152"/>
      <c r="AC12" s="152"/>
      <c r="AD12" s="103"/>
      <c r="IV12" s="101" t="s">
        <v>241</v>
      </c>
    </row>
    <row r="13" spans="2:256" ht="15" hidden="1" customHeight="1" x14ac:dyDescent="0.3">
      <c r="B13" s="331" t="s">
        <v>50</v>
      </c>
      <c r="C13" s="331"/>
      <c r="D13" s="331"/>
      <c r="E13" s="331"/>
      <c r="F13" s="331"/>
      <c r="G13" s="331"/>
      <c r="H13" s="331"/>
      <c r="I13" s="331"/>
      <c r="J13" s="331"/>
      <c r="K13" s="331"/>
      <c r="L13" s="331"/>
      <c r="M13" s="331"/>
      <c r="N13" s="331"/>
      <c r="O13" s="331"/>
      <c r="P13" s="331"/>
      <c r="Q13" s="331"/>
      <c r="R13" s="331"/>
      <c r="S13" s="331"/>
      <c r="T13" s="331"/>
      <c r="U13" s="331"/>
      <c r="V13" s="331"/>
      <c r="W13" s="331"/>
      <c r="X13" s="331"/>
      <c r="Y13" s="331"/>
      <c r="Z13" s="331"/>
      <c r="AA13" s="331"/>
      <c r="AB13" s="331"/>
      <c r="AC13" s="331"/>
      <c r="IV13" s="101" t="s">
        <v>243</v>
      </c>
    </row>
    <row r="14" spans="2:256" ht="6" hidden="1" customHeight="1" x14ac:dyDescent="0.3">
      <c r="AB14" s="99"/>
      <c r="IV14" s="101" t="s">
        <v>244</v>
      </c>
    </row>
    <row r="15" spans="2:256" ht="15" hidden="1" customHeight="1" x14ac:dyDescent="0.3">
      <c r="B15" s="332" t="s">
        <v>1323</v>
      </c>
      <c r="C15" s="332"/>
      <c r="D15" s="332"/>
      <c r="E15" s="332"/>
      <c r="F15" s="332"/>
      <c r="G15" s="332"/>
      <c r="H15" s="332"/>
      <c r="I15" s="332"/>
      <c r="J15" s="332"/>
      <c r="K15" s="332"/>
      <c r="L15" s="332"/>
      <c r="M15" s="332"/>
      <c r="N15" s="332"/>
      <c r="O15" s="332"/>
      <c r="P15" s="332"/>
      <c r="Q15" s="332"/>
      <c r="R15" s="332"/>
      <c r="S15" s="332"/>
      <c r="T15" s="332"/>
      <c r="U15" s="332"/>
      <c r="V15" s="332"/>
      <c r="W15" s="332"/>
      <c r="X15" s="332"/>
      <c r="Y15" s="332"/>
      <c r="Z15" s="332"/>
      <c r="AA15" s="332"/>
      <c r="AB15" s="332"/>
      <c r="AC15" s="332"/>
      <c r="IV15" s="101" t="s">
        <v>245</v>
      </c>
    </row>
    <row r="16" spans="2:256" ht="6" hidden="1" customHeight="1" x14ac:dyDescent="0.3">
      <c r="B16" s="332"/>
      <c r="C16" s="332"/>
      <c r="D16" s="332"/>
      <c r="E16" s="332"/>
      <c r="F16" s="332"/>
      <c r="G16" s="332"/>
      <c r="H16" s="332"/>
      <c r="I16" s="332"/>
      <c r="J16" s="332"/>
      <c r="K16" s="332"/>
      <c r="L16" s="332"/>
      <c r="M16" s="332"/>
      <c r="N16" s="332"/>
      <c r="O16" s="332"/>
      <c r="P16" s="332"/>
      <c r="Q16" s="332"/>
      <c r="R16" s="332"/>
      <c r="S16" s="332"/>
      <c r="T16" s="332"/>
      <c r="U16" s="332"/>
      <c r="V16" s="332"/>
      <c r="W16" s="332"/>
      <c r="X16" s="332"/>
      <c r="Y16" s="332"/>
      <c r="Z16" s="332"/>
      <c r="AA16" s="332"/>
      <c r="AB16" s="332"/>
      <c r="AC16" s="332"/>
      <c r="IV16" s="101" t="s">
        <v>246</v>
      </c>
    </row>
    <row r="17" spans="2:256" ht="14.4" hidden="1" x14ac:dyDescent="0.3">
      <c r="B17" s="332"/>
      <c r="C17" s="332"/>
      <c r="D17" s="332"/>
      <c r="E17" s="332"/>
      <c r="F17" s="332"/>
      <c r="G17" s="332"/>
      <c r="H17" s="332"/>
      <c r="I17" s="332"/>
      <c r="J17" s="332"/>
      <c r="K17" s="332"/>
      <c r="L17" s="332"/>
      <c r="M17" s="332"/>
      <c r="N17" s="332"/>
      <c r="O17" s="332"/>
      <c r="P17" s="332"/>
      <c r="Q17" s="332"/>
      <c r="R17" s="332"/>
      <c r="S17" s="332"/>
      <c r="T17" s="332"/>
      <c r="U17" s="332"/>
      <c r="V17" s="332"/>
      <c r="W17" s="332"/>
      <c r="X17" s="332"/>
      <c r="Y17" s="332"/>
      <c r="Z17" s="332"/>
      <c r="AA17" s="332"/>
      <c r="AB17" s="332"/>
      <c r="AC17" s="332"/>
      <c r="IV17" s="101" t="s">
        <v>247</v>
      </c>
    </row>
    <row r="18" spans="2:256" ht="15" customHeight="1" x14ac:dyDescent="0.3">
      <c r="B18" s="176" t="s">
        <v>208</v>
      </c>
      <c r="C18" s="176"/>
      <c r="D18" s="176"/>
      <c r="E18" s="176"/>
      <c r="F18" s="176"/>
      <c r="G18" s="176"/>
      <c r="H18" s="176"/>
      <c r="I18" s="127"/>
      <c r="J18" s="333" t="s">
        <v>65</v>
      </c>
      <c r="K18" s="333"/>
      <c r="L18" s="333"/>
      <c r="M18" s="333"/>
      <c r="N18" s="333"/>
      <c r="O18" s="333"/>
      <c r="P18" s="333"/>
      <c r="Q18" s="127"/>
      <c r="R18" s="127"/>
      <c r="Y18" s="334"/>
      <c r="AB18" s="99"/>
      <c r="IV18" s="101" t="s">
        <v>248</v>
      </c>
    </row>
    <row r="19" spans="2:256" ht="15" customHeight="1" x14ac:dyDescent="0.3">
      <c r="B19" s="126"/>
      <c r="C19" s="126"/>
      <c r="D19" s="126"/>
      <c r="E19" s="126"/>
      <c r="F19" s="126"/>
      <c r="G19" s="126"/>
      <c r="H19" s="126"/>
      <c r="I19" s="127"/>
      <c r="J19" s="335"/>
      <c r="K19" s="335"/>
      <c r="L19" s="335"/>
      <c r="M19" s="335"/>
      <c r="N19" s="335"/>
      <c r="O19" s="335"/>
      <c r="P19" s="335"/>
      <c r="Q19" s="127"/>
      <c r="R19" s="127"/>
      <c r="Y19" s="334"/>
      <c r="AB19" s="99"/>
      <c r="IV19" s="101"/>
    </row>
    <row r="20" spans="2:256" ht="15" customHeight="1" x14ac:dyDescent="0.3">
      <c r="B20" s="152" t="s">
        <v>22</v>
      </c>
      <c r="C20" s="152"/>
      <c r="D20" s="152"/>
      <c r="E20" s="152"/>
      <c r="F20" s="152"/>
      <c r="G20" s="152"/>
      <c r="H20" s="152"/>
      <c r="I20" s="152"/>
      <c r="J20" s="152"/>
      <c r="K20" s="152"/>
      <c r="L20" s="152"/>
      <c r="M20" s="152"/>
      <c r="N20" s="152"/>
      <c r="O20" s="152"/>
      <c r="P20" s="152"/>
      <c r="Q20" s="152"/>
      <c r="R20" s="152"/>
      <c r="S20" s="152"/>
      <c r="T20" s="152"/>
      <c r="U20" s="152"/>
      <c r="V20" s="152"/>
      <c r="W20" s="152"/>
      <c r="X20" s="152"/>
      <c r="Y20" s="152"/>
      <c r="Z20" s="152"/>
      <c r="AA20" s="152"/>
      <c r="AB20" s="152"/>
      <c r="AC20" s="152"/>
      <c r="IV20" s="101" t="s">
        <v>249</v>
      </c>
    </row>
    <row r="21" spans="2:256" s="103" customFormat="1" ht="14.4" x14ac:dyDescent="0.3">
      <c r="B21" s="336" t="s">
        <v>1335</v>
      </c>
      <c r="C21" s="176"/>
      <c r="D21" s="176"/>
      <c r="E21" s="176"/>
      <c r="F21" s="176"/>
      <c r="G21" s="176"/>
      <c r="H21" s="176"/>
      <c r="I21" s="176"/>
      <c r="J21" s="176"/>
      <c r="K21" s="176"/>
      <c r="L21" s="176"/>
      <c r="M21" s="176"/>
      <c r="N21" s="176"/>
      <c r="O21" s="192" t="s">
        <v>0</v>
      </c>
      <c r="P21" s="192"/>
      <c r="Q21" s="192"/>
      <c r="R21" s="192"/>
      <c r="S21" s="192"/>
      <c r="T21" s="192"/>
      <c r="U21" s="93"/>
      <c r="V21" s="337" t="str">
        <f>IFERROR(HYPERLINK("#" &amp; VLOOKUP(O21,Datos!$R$4:$S$8,2,0), "Ver Plantilla"),"Seleccione Plantilla")</f>
        <v>Seleccione Plantilla</v>
      </c>
      <c r="W21" s="338"/>
      <c r="X21" s="338"/>
      <c r="Y21" s="338"/>
      <c r="Z21" s="338"/>
      <c r="AA21" s="338"/>
      <c r="AB21" s="338"/>
      <c r="AC21" s="338"/>
      <c r="IV21" s="101" t="s">
        <v>250</v>
      </c>
    </row>
    <row r="22" spans="2:256" ht="14.4" x14ac:dyDescent="0.3">
      <c r="G22" s="99"/>
      <c r="H22" s="99"/>
      <c r="I22" s="99"/>
      <c r="J22" s="99"/>
      <c r="K22" s="99"/>
      <c r="L22" s="99"/>
      <c r="M22" s="99"/>
      <c r="N22" s="99"/>
      <c r="O22" s="99"/>
      <c r="P22" s="99"/>
      <c r="Q22" s="99"/>
      <c r="R22" s="99"/>
      <c r="S22" s="99"/>
      <c r="T22" s="99"/>
      <c r="U22" s="99"/>
      <c r="V22" s="99"/>
      <c r="W22" s="99"/>
      <c r="X22" s="99"/>
      <c r="Y22" s="99"/>
      <c r="Z22" s="107"/>
      <c r="AA22" s="107"/>
      <c r="AB22" s="99"/>
      <c r="IV22" s="101" t="s">
        <v>251</v>
      </c>
    </row>
    <row r="23" spans="2:256" ht="15" customHeight="1" x14ac:dyDescent="0.3">
      <c r="B23" s="152" t="s">
        <v>29</v>
      </c>
      <c r="C23" s="152"/>
      <c r="D23" s="152"/>
      <c r="E23" s="152"/>
      <c r="F23" s="152"/>
      <c r="G23" s="152"/>
      <c r="H23" s="152"/>
      <c r="I23" s="152"/>
      <c r="J23" s="152"/>
      <c r="K23" s="152"/>
      <c r="L23" s="152"/>
      <c r="M23" s="152"/>
      <c r="N23" s="152"/>
      <c r="O23" s="152"/>
      <c r="P23" s="152"/>
      <c r="Q23" s="152"/>
      <c r="R23" s="152"/>
      <c r="S23" s="152"/>
      <c r="T23" s="152"/>
      <c r="U23" s="152"/>
      <c r="V23" s="152"/>
      <c r="W23" s="152"/>
      <c r="X23" s="152"/>
      <c r="Y23" s="152"/>
      <c r="Z23" s="152"/>
      <c r="AA23" s="152"/>
      <c r="AB23" s="152"/>
      <c r="AC23" s="152"/>
      <c r="IV23" s="101" t="s">
        <v>253</v>
      </c>
    </row>
    <row r="24" spans="2:256" ht="15" customHeight="1" x14ac:dyDescent="0.3">
      <c r="B24" s="156" t="s">
        <v>30</v>
      </c>
      <c r="C24" s="156"/>
      <c r="D24" s="156"/>
      <c r="E24" s="156"/>
      <c r="F24" s="156"/>
      <c r="G24" s="156"/>
      <c r="H24" s="156"/>
      <c r="I24" s="156"/>
      <c r="J24" s="156"/>
      <c r="K24" s="156"/>
      <c r="L24" s="156"/>
      <c r="M24" s="156"/>
      <c r="N24" s="156"/>
      <c r="O24" s="156"/>
      <c r="P24" s="156"/>
      <c r="Q24" s="156"/>
      <c r="R24" s="156"/>
      <c r="S24" s="156"/>
      <c r="T24" s="156"/>
      <c r="U24" s="156"/>
      <c r="V24" s="156"/>
      <c r="W24" s="156"/>
      <c r="X24" s="156"/>
      <c r="Y24" s="156"/>
      <c r="Z24" s="156"/>
      <c r="AA24" s="156"/>
      <c r="AB24" s="156"/>
      <c r="AC24" s="156"/>
      <c r="IV24" s="101" t="s">
        <v>15</v>
      </c>
    </row>
    <row r="25" spans="2:256" ht="15" customHeight="1" x14ac:dyDescent="0.3">
      <c r="B25" s="157" t="s">
        <v>51</v>
      </c>
      <c r="C25" s="157"/>
      <c r="D25" s="157"/>
      <c r="E25" s="157"/>
      <c r="F25" s="157"/>
      <c r="G25" s="157"/>
      <c r="H25" s="157"/>
      <c r="I25" s="157"/>
      <c r="J25" s="157"/>
      <c r="K25" s="157"/>
      <c r="L25" s="157"/>
      <c r="M25" s="157"/>
      <c r="N25" s="157"/>
      <c r="O25" s="157"/>
      <c r="P25" s="157"/>
      <c r="Q25" s="157"/>
      <c r="R25" s="157"/>
      <c r="S25" s="157"/>
      <c r="T25" s="157"/>
      <c r="U25" s="157"/>
      <c r="V25" s="157"/>
      <c r="W25" s="157"/>
      <c r="X25" s="157"/>
      <c r="Y25" s="157"/>
      <c r="Z25" s="157"/>
      <c r="AA25" s="157"/>
      <c r="AB25" s="157"/>
      <c r="AC25" s="157"/>
      <c r="AD25" s="103"/>
      <c r="AE25" s="103"/>
      <c r="AF25" s="103"/>
      <c r="AG25" s="103"/>
      <c r="AH25" s="103"/>
      <c r="AI25" s="103"/>
      <c r="AJ25" s="103"/>
      <c r="AK25" s="103"/>
      <c r="AL25" s="103"/>
      <c r="AM25" s="103"/>
      <c r="AN25" s="9"/>
      <c r="AO25" s="112"/>
      <c r="AP25" s="112"/>
      <c r="AQ25" s="112"/>
      <c r="AR25" s="112"/>
      <c r="AS25" s="112"/>
      <c r="AT25" s="112"/>
      <c r="AU25" s="112"/>
      <c r="AV25" s="112"/>
      <c r="AW25" s="112"/>
      <c r="AX25" s="112"/>
      <c r="IV25" s="101" t="s">
        <v>1319</v>
      </c>
    </row>
    <row r="26" spans="2:256" ht="14.4" x14ac:dyDescent="0.3">
      <c r="C26" s="95"/>
      <c r="D26" s="95"/>
      <c r="E26" s="95"/>
      <c r="F26" s="95"/>
      <c r="G26" s="95"/>
      <c r="H26" s="124"/>
      <c r="I26" s="124"/>
      <c r="J26" s="124"/>
      <c r="K26" s="124"/>
      <c r="L26" s="124"/>
      <c r="M26" s="124"/>
      <c r="N26" s="124"/>
      <c r="P26" s="119"/>
      <c r="Q26" s="119"/>
      <c r="R26" s="119"/>
      <c r="S26" s="119"/>
      <c r="T26" s="119"/>
      <c r="Z26" s="5"/>
      <c r="AA26" s="6"/>
      <c r="AB26" s="103"/>
      <c r="AC26" s="6"/>
      <c r="AD26" s="103"/>
      <c r="AE26" s="103"/>
      <c r="AF26" s="103"/>
      <c r="AG26" s="103"/>
      <c r="AH26" s="103"/>
      <c r="AI26" s="103"/>
      <c r="AJ26" s="103"/>
      <c r="AK26" s="103"/>
      <c r="AL26" s="103"/>
      <c r="AM26" s="103"/>
      <c r="AN26" s="9"/>
      <c r="AO26" s="112"/>
      <c r="AP26" s="112"/>
      <c r="AQ26" s="112"/>
      <c r="AR26" s="112"/>
      <c r="AS26" s="112"/>
      <c r="AT26" s="112"/>
      <c r="AU26" s="112"/>
      <c r="AV26" s="112"/>
      <c r="AW26" s="112"/>
      <c r="AX26" s="112"/>
      <c r="IV26" s="101" t="s">
        <v>1309</v>
      </c>
    </row>
    <row r="27" spans="2:256" ht="15" customHeight="1" x14ac:dyDescent="0.3">
      <c r="B27" s="110" t="s">
        <v>209</v>
      </c>
      <c r="C27" s="95"/>
      <c r="D27" s="95"/>
      <c r="E27" s="95"/>
      <c r="F27" s="95"/>
      <c r="G27" s="95"/>
      <c r="H27" s="124"/>
      <c r="I27" s="124"/>
      <c r="J27" s="124"/>
      <c r="K27" s="163" t="s">
        <v>0</v>
      </c>
      <c r="L27" s="163"/>
      <c r="M27" s="163"/>
      <c r="N27" s="163"/>
      <c r="O27" s="163"/>
      <c r="P27" s="163"/>
      <c r="Q27" s="334"/>
      <c r="R27" s="119"/>
      <c r="S27" s="119"/>
      <c r="T27" s="95" t="s">
        <v>66</v>
      </c>
      <c r="U27" s="95"/>
      <c r="V27" s="160"/>
      <c r="W27" s="160"/>
      <c r="X27" s="160"/>
      <c r="Y27" s="160"/>
      <c r="Z27" s="160"/>
      <c r="AA27" s="160"/>
      <c r="AB27" s="160"/>
      <c r="AC27" s="6"/>
      <c r="AD27" s="103"/>
      <c r="AE27" s="103"/>
      <c r="AF27" s="103"/>
      <c r="AG27" s="103"/>
      <c r="AH27" s="103"/>
      <c r="AI27" s="103"/>
      <c r="AJ27" s="103"/>
      <c r="AK27" s="103"/>
      <c r="AL27" s="103"/>
      <c r="AM27" s="103"/>
      <c r="AN27" s="9"/>
      <c r="AO27" s="112"/>
      <c r="AP27" s="112"/>
      <c r="AQ27" s="112"/>
      <c r="AR27" s="112"/>
      <c r="AS27" s="112"/>
      <c r="AT27" s="112"/>
      <c r="AU27" s="112"/>
      <c r="AV27" s="112"/>
      <c r="AW27" s="112"/>
      <c r="AX27" s="112"/>
      <c r="IV27" s="101" t="s">
        <v>1320</v>
      </c>
    </row>
    <row r="28" spans="2:256" x14ac:dyDescent="0.3">
      <c r="D28" s="107"/>
      <c r="E28" s="107"/>
      <c r="F28" s="107"/>
      <c r="G28" s="5"/>
      <c r="H28" s="5"/>
      <c r="I28" s="5"/>
      <c r="J28" s="107"/>
      <c r="R28" s="107"/>
      <c r="Z28" s="5"/>
      <c r="AA28" s="6"/>
      <c r="AB28" s="103"/>
      <c r="AC28" s="6"/>
      <c r="AD28" s="103"/>
      <c r="AE28" s="103"/>
      <c r="AF28" s="103"/>
      <c r="AG28" s="103"/>
      <c r="AH28" s="103"/>
      <c r="AI28" s="103"/>
      <c r="AJ28" s="103"/>
      <c r="AK28" s="103"/>
      <c r="AL28" s="103"/>
      <c r="AM28" s="103"/>
      <c r="AN28" s="9"/>
      <c r="AO28" s="112"/>
      <c r="AP28" s="112"/>
      <c r="AQ28" s="112"/>
      <c r="AR28" s="112"/>
      <c r="AS28" s="112"/>
      <c r="AT28" s="112"/>
      <c r="AU28" s="112"/>
      <c r="AV28" s="112"/>
      <c r="AW28" s="112"/>
      <c r="AX28" s="112"/>
    </row>
    <row r="29" spans="2:256" ht="15" customHeight="1" x14ac:dyDescent="0.3">
      <c r="B29" s="110" t="s">
        <v>210</v>
      </c>
      <c r="C29" s="95"/>
      <c r="D29" s="95"/>
      <c r="E29" s="95"/>
      <c r="F29" s="95"/>
      <c r="G29" s="95"/>
      <c r="H29" s="124"/>
      <c r="I29" s="124"/>
      <c r="J29" s="124"/>
      <c r="K29" s="163" t="s">
        <v>36</v>
      </c>
      <c r="L29" s="163"/>
      <c r="M29" s="163"/>
      <c r="N29" s="163"/>
      <c r="O29" s="163"/>
      <c r="P29" s="163"/>
      <c r="Q29" s="334"/>
      <c r="R29" s="119"/>
      <c r="S29" s="119"/>
      <c r="T29" s="339" t="s">
        <v>211</v>
      </c>
      <c r="U29" s="339"/>
      <c r="V29" s="339"/>
      <c r="W29" s="339"/>
      <c r="X29" s="339"/>
      <c r="Y29" s="339"/>
      <c r="Z29" s="339"/>
      <c r="AA29" s="339"/>
      <c r="AD29" s="103"/>
      <c r="AE29" s="95"/>
      <c r="AF29" s="103"/>
      <c r="AG29" s="103"/>
      <c r="AH29" s="103"/>
      <c r="AI29" s="103"/>
      <c r="AJ29" s="103"/>
      <c r="AK29" s="103"/>
      <c r="AL29" s="339" t="s">
        <v>212</v>
      </c>
      <c r="AM29" s="339"/>
      <c r="AN29" s="339"/>
      <c r="AO29" s="112"/>
      <c r="AP29" s="112"/>
      <c r="AQ29" s="112"/>
      <c r="AR29" s="112"/>
      <c r="AS29" s="112"/>
      <c r="AT29" s="112"/>
      <c r="AU29" s="112"/>
      <c r="AV29" s="112"/>
      <c r="AW29" s="112"/>
      <c r="AX29" s="112"/>
    </row>
    <row r="30" spans="2:256" x14ac:dyDescent="0.3">
      <c r="D30" s="107"/>
      <c r="E30" s="107"/>
      <c r="F30" s="107"/>
      <c r="G30" s="5"/>
      <c r="H30" s="5"/>
      <c r="I30" s="5"/>
      <c r="J30" s="107"/>
      <c r="R30" s="107"/>
      <c r="T30" s="340"/>
      <c r="U30" s="340"/>
      <c r="V30" s="340"/>
      <c r="W30" s="340"/>
      <c r="X30" s="340"/>
      <c r="Y30" s="340"/>
      <c r="Z30" s="340"/>
      <c r="AA30" s="340"/>
      <c r="AB30" s="103"/>
      <c r="AD30" s="103"/>
      <c r="AE30" s="6"/>
      <c r="AF30" s="103"/>
      <c r="AG30" s="103"/>
      <c r="AH30" s="103"/>
      <c r="AI30" s="103"/>
      <c r="AJ30" s="103"/>
      <c r="AK30" s="103"/>
      <c r="AL30" s="341"/>
      <c r="AM30" s="341"/>
      <c r="AN30" s="341"/>
      <c r="AO30" s="112"/>
      <c r="AP30" s="112"/>
      <c r="AQ30" s="112"/>
      <c r="AR30" s="112"/>
      <c r="AS30" s="112"/>
      <c r="AT30" s="112"/>
      <c r="AU30" s="112"/>
      <c r="AV30" s="112"/>
      <c r="AW30" s="112"/>
      <c r="AX30" s="112"/>
    </row>
    <row r="31" spans="2:256" ht="17.25" customHeight="1" x14ac:dyDescent="0.3">
      <c r="B31" s="95"/>
      <c r="C31" s="95"/>
      <c r="D31" s="95"/>
      <c r="E31" s="95"/>
      <c r="F31" s="95"/>
      <c r="G31" s="95"/>
      <c r="H31" s="124"/>
      <c r="I31" s="124"/>
      <c r="J31" s="124"/>
      <c r="K31" s="124"/>
      <c r="L31" s="124"/>
      <c r="M31" s="124"/>
      <c r="N31" s="124"/>
      <c r="P31" s="119"/>
      <c r="Q31" s="119"/>
      <c r="R31" s="119"/>
      <c r="S31" s="119"/>
      <c r="AA31" s="93"/>
      <c r="AB31" s="93"/>
      <c r="AD31" s="103"/>
      <c r="AO31" s="299"/>
      <c r="AP31" s="299"/>
      <c r="AQ31" s="299"/>
      <c r="AR31" s="112"/>
      <c r="AS31" s="112"/>
      <c r="AT31" s="112"/>
      <c r="AU31" s="112"/>
      <c r="AV31" s="112"/>
      <c r="AW31" s="112"/>
      <c r="AX31" s="112"/>
    </row>
    <row r="32" spans="2:256" x14ac:dyDescent="0.3">
      <c r="B32" s="154" t="s">
        <v>70</v>
      </c>
      <c r="C32" s="154"/>
      <c r="D32" s="154"/>
      <c r="E32" s="154"/>
      <c r="F32" s="154"/>
      <c r="G32" s="154"/>
      <c r="H32" s="154"/>
      <c r="I32" s="154"/>
      <c r="J32" s="154"/>
      <c r="K32" s="154"/>
      <c r="L32" s="154"/>
      <c r="M32" s="154"/>
      <c r="N32" s="154"/>
      <c r="O32" s="154"/>
      <c r="P32" s="154"/>
      <c r="Q32" s="154"/>
      <c r="R32" s="154"/>
      <c r="S32" s="154"/>
      <c r="T32" s="154"/>
      <c r="U32" s="154"/>
      <c r="V32" s="154"/>
      <c r="W32" s="154"/>
      <c r="X32" s="154"/>
      <c r="Y32" s="154"/>
      <c r="Z32" s="154"/>
      <c r="AA32" s="154"/>
      <c r="AB32" s="154"/>
      <c r="AC32" s="154"/>
      <c r="AD32" s="154"/>
      <c r="AE32" s="154"/>
      <c r="AF32" s="103"/>
      <c r="AG32" s="103"/>
      <c r="AH32" s="103"/>
      <c r="AI32" s="103"/>
      <c r="AJ32" s="103"/>
      <c r="AK32" s="103"/>
      <c r="AL32" s="103"/>
      <c r="AM32" s="103"/>
      <c r="AN32" s="112"/>
      <c r="AO32" s="112"/>
      <c r="AP32" s="112"/>
      <c r="AQ32" s="112"/>
      <c r="AR32" s="112"/>
      <c r="AS32" s="112"/>
      <c r="AT32" s="112"/>
      <c r="AU32" s="112"/>
      <c r="AV32" s="112"/>
      <c r="AW32" s="112"/>
      <c r="AX32" s="112"/>
    </row>
    <row r="33" spans="2:50" s="103" customFormat="1" x14ac:dyDescent="0.3">
      <c r="B33" s="174"/>
      <c r="C33" s="174"/>
      <c r="D33" s="174"/>
      <c r="E33" s="174"/>
      <c r="F33" s="174"/>
      <c r="G33" s="174"/>
      <c r="H33" s="174"/>
      <c r="I33" s="174"/>
      <c r="J33" s="174"/>
      <c r="K33" s="174"/>
      <c r="L33" s="174"/>
      <c r="M33" s="174"/>
      <c r="N33" s="174"/>
      <c r="O33" s="174"/>
      <c r="P33" s="174"/>
      <c r="Q33" s="174"/>
      <c r="R33" s="174"/>
      <c r="S33" s="174"/>
      <c r="T33" s="174"/>
      <c r="U33" s="174"/>
      <c r="V33" s="174"/>
      <c r="W33" s="174"/>
      <c r="X33" s="174"/>
      <c r="Y33" s="174"/>
      <c r="Z33" s="174"/>
      <c r="AA33" s="174"/>
      <c r="AB33" s="174"/>
      <c r="AC33" s="174"/>
      <c r="AN33" s="112"/>
      <c r="AO33" s="112"/>
      <c r="AP33" s="112"/>
      <c r="AQ33" s="112"/>
      <c r="AR33" s="112"/>
      <c r="AS33" s="112"/>
      <c r="AT33" s="112"/>
      <c r="AU33" s="112"/>
      <c r="AV33" s="112"/>
      <c r="AW33" s="112"/>
      <c r="AX33" s="112"/>
    </row>
    <row r="34" spans="2:50" x14ac:dyDescent="0.3">
      <c r="B34" s="342" t="s">
        <v>1336</v>
      </c>
      <c r="C34" s="342"/>
      <c r="D34" s="342"/>
      <c r="E34" s="342"/>
      <c r="F34" s="342"/>
      <c r="G34" s="342"/>
      <c r="H34" s="342"/>
      <c r="I34" s="342"/>
      <c r="J34" s="342"/>
      <c r="K34" s="342"/>
      <c r="L34" s="342"/>
      <c r="M34" s="342"/>
      <c r="N34" s="342"/>
      <c r="O34" s="342"/>
      <c r="P34" s="342"/>
      <c r="Q34" s="342"/>
      <c r="R34" s="342"/>
      <c r="S34" s="342"/>
      <c r="T34" s="342"/>
      <c r="U34" s="342"/>
      <c r="V34" s="342"/>
      <c r="W34" s="342"/>
      <c r="X34" s="342"/>
      <c r="Y34" s="342"/>
      <c r="Z34" s="342"/>
      <c r="AA34" s="342"/>
      <c r="AB34" s="342"/>
      <c r="AC34" s="342"/>
      <c r="AD34" s="103"/>
      <c r="AM34" s="103"/>
      <c r="AN34" s="112"/>
      <c r="AO34" s="112"/>
      <c r="AP34" s="112"/>
      <c r="AQ34" s="112"/>
      <c r="AR34" s="112"/>
      <c r="AS34" s="112"/>
      <c r="AT34" s="112"/>
      <c r="AU34" s="112"/>
      <c r="AV34" s="112"/>
      <c r="AW34" s="112"/>
      <c r="AX34" s="112"/>
    </row>
    <row r="35" spans="2:50" s="103" customFormat="1" x14ac:dyDescent="0.3">
      <c r="B35" s="156" t="s">
        <v>71</v>
      </c>
      <c r="C35" s="156"/>
      <c r="D35" s="156"/>
      <c r="E35" s="156"/>
      <c r="F35" s="156"/>
      <c r="G35" s="156"/>
      <c r="H35" s="156"/>
      <c r="I35" s="156"/>
      <c r="J35" s="156"/>
      <c r="K35" s="156"/>
      <c r="L35" s="156"/>
      <c r="M35" s="156"/>
      <c r="N35" s="156"/>
      <c r="O35" s="156"/>
      <c r="P35" s="156"/>
      <c r="Q35" s="156"/>
      <c r="R35" s="156"/>
      <c r="S35" s="156"/>
      <c r="T35" s="156"/>
      <c r="U35" s="156"/>
      <c r="V35" s="156"/>
      <c r="W35" s="156"/>
      <c r="X35" s="156"/>
      <c r="Y35" s="156"/>
      <c r="Z35" s="156"/>
      <c r="AA35" s="156"/>
      <c r="AB35" s="156"/>
      <c r="AC35" s="156"/>
      <c r="AN35" s="112"/>
      <c r="AO35" s="112"/>
      <c r="AP35" s="112"/>
      <c r="AQ35" s="112"/>
      <c r="AR35" s="112"/>
      <c r="AS35" s="112"/>
      <c r="AT35" s="112"/>
      <c r="AU35" s="112"/>
      <c r="AV35" s="112"/>
      <c r="AW35" s="112"/>
      <c r="AX35" s="112"/>
    </row>
    <row r="36" spans="2:50" x14ac:dyDescent="0.3">
      <c r="B36" s="95"/>
      <c r="C36" s="95"/>
      <c r="D36" s="95"/>
      <c r="E36" s="95"/>
      <c r="F36" s="95"/>
      <c r="G36" s="95"/>
      <c r="H36" s="95"/>
      <c r="I36" s="95"/>
      <c r="J36" s="95"/>
      <c r="K36" s="95"/>
      <c r="L36" s="95"/>
      <c r="M36" s="95"/>
      <c r="N36" s="95"/>
      <c r="O36" s="95"/>
      <c r="P36" s="95"/>
      <c r="Q36" s="95"/>
      <c r="R36" s="95"/>
      <c r="S36" s="95"/>
      <c r="T36" s="95"/>
      <c r="U36" s="95"/>
      <c r="V36" s="95"/>
      <c r="W36" s="95"/>
      <c r="X36" s="95"/>
      <c r="Y36" s="95"/>
      <c r="Z36" s="95"/>
      <c r="AA36" s="120"/>
      <c r="AB36" s="120"/>
      <c r="AC36" s="103"/>
      <c r="AD36" s="103"/>
      <c r="AM36" s="103"/>
      <c r="AN36" s="112"/>
      <c r="AO36" s="112"/>
      <c r="AP36" s="112"/>
      <c r="AQ36" s="112"/>
      <c r="AR36" s="112"/>
      <c r="AS36" s="112"/>
      <c r="AT36" s="112"/>
      <c r="AU36" s="112"/>
      <c r="AV36" s="112"/>
      <c r="AW36" s="112"/>
      <c r="AX36" s="112"/>
    </row>
    <row r="37" spans="2:50" x14ac:dyDescent="0.3">
      <c r="B37" s="153" t="s">
        <v>32</v>
      </c>
      <c r="C37" s="153"/>
      <c r="D37" s="95"/>
      <c r="E37" s="95"/>
      <c r="F37" s="95"/>
      <c r="G37" s="95"/>
      <c r="I37" s="153" t="s">
        <v>33</v>
      </c>
      <c r="J37" s="153"/>
      <c r="K37" s="153"/>
      <c r="L37" s="153"/>
      <c r="M37" s="153"/>
      <c r="N37" s="153"/>
      <c r="O37" s="153"/>
      <c r="P37" s="343"/>
      <c r="Q37" s="343"/>
      <c r="R37" s="311" t="s">
        <v>72</v>
      </c>
      <c r="S37" s="311"/>
      <c r="T37" s="311"/>
      <c r="U37" s="311"/>
      <c r="V37" s="311"/>
      <c r="X37" s="311" t="s">
        <v>73</v>
      </c>
      <c r="Y37" s="311"/>
      <c r="Z37" s="311"/>
      <c r="AA37" s="343"/>
      <c r="AB37" s="344"/>
      <c r="AC37" s="344"/>
      <c r="AD37" s="344"/>
      <c r="AE37" s="345"/>
      <c r="AF37" s="200"/>
      <c r="AG37" s="200"/>
      <c r="AH37" s="200"/>
      <c r="AI37" s="200"/>
      <c r="AJ37" s="200"/>
      <c r="AK37" s="200"/>
      <c r="AL37" s="200"/>
      <c r="AM37" s="103"/>
      <c r="AP37" s="312"/>
      <c r="AQ37" s="112"/>
      <c r="AR37" s="112"/>
      <c r="AS37" s="112"/>
      <c r="AT37" s="112"/>
      <c r="AU37" s="112"/>
      <c r="AV37" s="112"/>
      <c r="AW37" s="112"/>
      <c r="AX37" s="112"/>
    </row>
    <row r="38" spans="2:50" x14ac:dyDescent="0.3">
      <c r="B38" s="95" t="s">
        <v>213</v>
      </c>
      <c r="C38" s="95"/>
      <c r="D38" s="95"/>
      <c r="E38" s="95"/>
      <c r="F38" s="95"/>
      <c r="G38" s="95"/>
      <c r="H38" s="95"/>
      <c r="I38" s="346"/>
      <c r="J38" s="346"/>
      <c r="K38" s="346"/>
      <c r="L38" s="346"/>
      <c r="M38" s="346"/>
      <c r="N38" s="346"/>
      <c r="O38" s="346"/>
      <c r="S38" s="306" t="s">
        <v>40</v>
      </c>
      <c r="T38" s="306"/>
      <c r="U38" s="306"/>
      <c r="V38" s="347"/>
      <c r="X38" s="306"/>
      <c r="Y38" s="306"/>
      <c r="Z38" s="306"/>
      <c r="AA38" s="348"/>
      <c r="AB38" s="349"/>
      <c r="AC38" s="349"/>
      <c r="AD38" s="349"/>
      <c r="AE38" s="350"/>
      <c r="AF38" s="351"/>
      <c r="AG38" s="351"/>
      <c r="AH38" s="351"/>
      <c r="AI38" s="351"/>
      <c r="AJ38" s="351"/>
      <c r="AK38" s="351"/>
      <c r="AL38" s="351"/>
      <c r="AM38" s="103"/>
      <c r="AP38" s="112"/>
      <c r="AQ38" s="112"/>
      <c r="AR38" s="112"/>
      <c r="AS38" s="112"/>
      <c r="AT38" s="112"/>
      <c r="AU38" s="112"/>
      <c r="AV38" s="112"/>
      <c r="AW38" s="112"/>
      <c r="AX38" s="112"/>
    </row>
    <row r="39" spans="2:50" x14ac:dyDescent="0.3">
      <c r="B39" s="95" t="s">
        <v>214</v>
      </c>
      <c r="C39" s="95"/>
      <c r="D39" s="95"/>
      <c r="E39" s="95"/>
      <c r="F39" s="95"/>
      <c r="G39" s="95"/>
      <c r="H39" s="95"/>
      <c r="I39" s="346"/>
      <c r="J39" s="346"/>
      <c r="K39" s="346"/>
      <c r="L39" s="346"/>
      <c r="M39" s="346"/>
      <c r="N39" s="346"/>
      <c r="O39" s="346"/>
      <c r="P39" s="334"/>
      <c r="Q39" s="334"/>
      <c r="S39" s="305" t="s">
        <v>0</v>
      </c>
      <c r="T39" s="305"/>
      <c r="U39" s="305"/>
      <c r="V39" s="352"/>
      <c r="X39" s="305"/>
      <c r="Y39" s="305"/>
      <c r="Z39" s="305"/>
      <c r="AA39" s="348"/>
      <c r="AB39" s="349"/>
      <c r="AC39" s="349"/>
      <c r="AD39" s="349"/>
      <c r="AE39" s="345"/>
      <c r="AF39" s="351"/>
      <c r="AG39" s="351"/>
      <c r="AH39" s="351"/>
      <c r="AI39" s="351"/>
      <c r="AJ39" s="351"/>
      <c r="AK39" s="351"/>
      <c r="AL39" s="351"/>
      <c r="AM39" s="103"/>
      <c r="AP39" s="112"/>
      <c r="AQ39" s="112"/>
      <c r="AR39" s="112"/>
      <c r="AS39" s="112"/>
      <c r="AT39" s="112"/>
      <c r="AU39" s="112"/>
      <c r="AV39" s="112"/>
      <c r="AW39" s="112"/>
      <c r="AX39" s="112"/>
    </row>
    <row r="40" spans="2:50" x14ac:dyDescent="0.3">
      <c r="B40" s="95" t="s">
        <v>215</v>
      </c>
      <c r="C40" s="95"/>
      <c r="D40" s="95"/>
      <c r="E40" s="95"/>
      <c r="F40" s="95"/>
      <c r="G40" s="95"/>
      <c r="H40" s="95"/>
      <c r="I40" s="346"/>
      <c r="J40" s="346"/>
      <c r="K40" s="346"/>
      <c r="L40" s="346"/>
      <c r="M40" s="346"/>
      <c r="N40" s="346"/>
      <c r="O40" s="346"/>
      <c r="S40" s="305" t="s">
        <v>0</v>
      </c>
      <c r="T40" s="305"/>
      <c r="U40" s="305"/>
      <c r="V40" s="347"/>
      <c r="X40" s="306"/>
      <c r="Y40" s="306"/>
      <c r="Z40" s="306"/>
      <c r="AA40" s="348"/>
      <c r="AB40" s="349"/>
      <c r="AC40" s="349"/>
      <c r="AD40" s="349"/>
      <c r="AE40" s="345"/>
      <c r="AF40" s="351"/>
      <c r="AG40" s="351"/>
      <c r="AH40" s="351"/>
      <c r="AI40" s="351"/>
      <c r="AJ40" s="351"/>
      <c r="AK40" s="351"/>
      <c r="AL40" s="351"/>
      <c r="AM40" s="103"/>
      <c r="AP40" s="112"/>
      <c r="AQ40" s="112"/>
      <c r="AR40" s="112"/>
      <c r="AS40" s="112"/>
      <c r="AT40" s="112"/>
      <c r="AU40" s="112"/>
      <c r="AV40" s="112"/>
      <c r="AW40" s="112"/>
      <c r="AX40" s="112"/>
    </row>
    <row r="41" spans="2:50" x14ac:dyDescent="0.3">
      <c r="B41" s="95" t="s">
        <v>216</v>
      </c>
      <c r="C41" s="95"/>
      <c r="D41" s="95"/>
      <c r="E41" s="95"/>
      <c r="F41" s="95"/>
      <c r="G41" s="95"/>
      <c r="H41" s="95"/>
      <c r="I41" s="346"/>
      <c r="J41" s="346"/>
      <c r="K41" s="346"/>
      <c r="L41" s="346"/>
      <c r="M41" s="346"/>
      <c r="N41" s="346"/>
      <c r="O41" s="346"/>
      <c r="S41" s="305" t="s">
        <v>0</v>
      </c>
      <c r="T41" s="305"/>
      <c r="U41" s="305"/>
      <c r="V41" s="352"/>
      <c r="X41" s="305" t="s">
        <v>14</v>
      </c>
      <c r="Y41" s="305"/>
      <c r="Z41" s="305"/>
      <c r="AA41" s="348"/>
      <c r="AB41" s="349"/>
      <c r="AC41" s="349"/>
      <c r="AD41" s="349"/>
      <c r="AE41" s="345"/>
      <c r="AF41" s="351"/>
      <c r="AG41" s="351"/>
      <c r="AH41" s="351"/>
      <c r="AI41" s="351"/>
      <c r="AJ41" s="351"/>
      <c r="AK41" s="351"/>
      <c r="AL41" s="351"/>
      <c r="AM41" s="103"/>
      <c r="AP41" s="112"/>
      <c r="AQ41" s="8"/>
      <c r="AR41" s="8"/>
      <c r="AS41" s="8"/>
      <c r="AT41" s="8"/>
      <c r="AU41" s="8"/>
      <c r="AV41" s="8"/>
      <c r="AW41" s="8"/>
      <c r="AX41" s="8"/>
    </row>
    <row r="42" spans="2:50" ht="15" customHeight="1" x14ac:dyDescent="0.3">
      <c r="B42" s="95" t="s">
        <v>217</v>
      </c>
      <c r="C42" s="95"/>
      <c r="D42" s="95"/>
      <c r="E42" s="95"/>
      <c r="F42" s="95"/>
      <c r="G42" s="95"/>
      <c r="H42" s="95"/>
      <c r="I42" s="346"/>
      <c r="J42" s="346"/>
      <c r="K42" s="346"/>
      <c r="L42" s="346"/>
      <c r="M42" s="346"/>
      <c r="N42" s="346"/>
      <c r="O42" s="346"/>
      <c r="S42" s="305" t="s">
        <v>0</v>
      </c>
      <c r="T42" s="305"/>
      <c r="U42" s="305"/>
      <c r="V42" s="347"/>
      <c r="X42" s="306"/>
      <c r="Y42" s="306"/>
      <c r="Z42" s="306"/>
      <c r="AA42" s="348"/>
      <c r="AB42" s="349"/>
      <c r="AC42" s="349"/>
      <c r="AD42" s="349"/>
      <c r="AE42" s="353"/>
      <c r="AF42" s="351"/>
      <c r="AG42" s="351"/>
      <c r="AH42" s="351"/>
      <c r="AI42" s="351"/>
      <c r="AJ42" s="351"/>
      <c r="AK42" s="351"/>
      <c r="AL42" s="351"/>
      <c r="AM42" s="103"/>
      <c r="AN42" s="112"/>
      <c r="AO42" s="112"/>
      <c r="AP42" s="112"/>
      <c r="AQ42" s="8"/>
      <c r="AR42" s="8"/>
      <c r="AS42" s="8"/>
      <c r="AT42" s="8"/>
      <c r="AU42" s="8"/>
      <c r="AV42" s="8"/>
      <c r="AW42" s="8"/>
      <c r="AX42" s="8"/>
    </row>
    <row r="43" spans="2:50" ht="15" customHeight="1" x14ac:dyDescent="0.3">
      <c r="B43" s="95" t="s">
        <v>218</v>
      </c>
      <c r="C43" s="95"/>
      <c r="D43" s="95"/>
      <c r="E43" s="95"/>
      <c r="F43" s="95"/>
      <c r="G43" s="95"/>
      <c r="H43" s="95"/>
      <c r="I43" s="346"/>
      <c r="J43" s="346"/>
      <c r="K43" s="346"/>
      <c r="L43" s="346"/>
      <c r="M43" s="346"/>
      <c r="N43" s="346"/>
      <c r="O43" s="346"/>
      <c r="S43" s="305" t="s">
        <v>40</v>
      </c>
      <c r="T43" s="305"/>
      <c r="U43" s="305"/>
      <c r="V43" s="347"/>
      <c r="X43" s="306"/>
      <c r="Y43" s="306"/>
      <c r="Z43" s="306"/>
      <c r="AA43" s="348"/>
      <c r="AB43" s="349"/>
      <c r="AC43" s="349"/>
      <c r="AD43" s="349"/>
      <c r="AE43" s="345"/>
      <c r="AF43" s="351"/>
      <c r="AG43" s="351"/>
      <c r="AH43" s="351"/>
      <c r="AI43" s="351"/>
      <c r="AJ43" s="351"/>
      <c r="AK43" s="351"/>
      <c r="AL43" s="351"/>
      <c r="AM43" s="103"/>
      <c r="AN43" s="112"/>
      <c r="AO43" s="112"/>
      <c r="AP43" s="112"/>
      <c r="AQ43" s="8"/>
      <c r="AR43" s="8"/>
      <c r="AS43" s="8"/>
      <c r="AT43" s="8"/>
      <c r="AU43" s="8"/>
      <c r="AV43" s="8"/>
      <c r="AW43" s="8"/>
      <c r="AX43" s="8"/>
    </row>
    <row r="44" spans="2:50" ht="15" customHeight="1" x14ac:dyDescent="0.3">
      <c r="B44" s="95" t="s">
        <v>194</v>
      </c>
      <c r="C44" s="95"/>
      <c r="D44" s="95"/>
      <c r="E44" s="95"/>
      <c r="F44" s="95"/>
      <c r="G44" s="95"/>
      <c r="H44" s="95"/>
      <c r="I44" s="346"/>
      <c r="J44" s="346"/>
      <c r="K44" s="346"/>
      <c r="L44" s="346"/>
      <c r="M44" s="346"/>
      <c r="N44" s="346"/>
      <c r="O44" s="346"/>
      <c r="S44" s="305" t="s">
        <v>0</v>
      </c>
      <c r="T44" s="305"/>
      <c r="U44" s="305"/>
      <c r="V44" s="334"/>
      <c r="X44" s="306"/>
      <c r="Y44" s="306"/>
      <c r="Z44" s="306"/>
      <c r="AA44" s="348"/>
      <c r="AB44" s="310"/>
      <c r="AC44" s="310"/>
      <c r="AD44" s="310"/>
      <c r="AE44" s="103"/>
      <c r="AF44" s="354"/>
      <c r="AG44" s="354"/>
      <c r="AH44" s="354"/>
      <c r="AI44" s="354"/>
      <c r="AJ44" s="354"/>
      <c r="AK44" s="354"/>
      <c r="AL44" s="354"/>
      <c r="AM44" s="103"/>
      <c r="AN44" s="8"/>
      <c r="AO44" s="8"/>
      <c r="AP44" s="8"/>
      <c r="AQ44" s="8"/>
      <c r="AR44" s="8"/>
      <c r="AS44" s="8"/>
      <c r="AT44" s="8"/>
      <c r="AU44" s="8"/>
      <c r="AV44" s="8"/>
      <c r="AW44" s="8"/>
      <c r="AX44" s="8"/>
    </row>
    <row r="45" spans="2:50" ht="15" customHeight="1" x14ac:dyDescent="0.3">
      <c r="B45" s="95" t="s">
        <v>219</v>
      </c>
      <c r="C45" s="95"/>
      <c r="D45" s="95"/>
      <c r="E45" s="95"/>
      <c r="F45" s="95"/>
      <c r="G45" s="95"/>
      <c r="H45" s="95"/>
      <c r="I45" s="346"/>
      <c r="J45" s="346"/>
      <c r="K45" s="346"/>
      <c r="L45" s="346"/>
      <c r="M45" s="346"/>
      <c r="N45" s="346"/>
      <c r="O45" s="346"/>
      <c r="P45" s="334"/>
      <c r="Q45" s="334"/>
      <c r="S45" s="305" t="s">
        <v>0</v>
      </c>
      <c r="T45" s="305"/>
      <c r="U45" s="305"/>
      <c r="V45" s="334"/>
      <c r="X45" s="306" t="s">
        <v>14</v>
      </c>
      <c r="Y45" s="306"/>
      <c r="Z45" s="306"/>
      <c r="AA45" s="348"/>
      <c r="AB45" s="305" t="s">
        <v>0</v>
      </c>
      <c r="AC45" s="305"/>
      <c r="AD45" s="305"/>
      <c r="AF45" s="155"/>
      <c r="AG45" s="155"/>
      <c r="AH45" s="155"/>
      <c r="AI45" s="155"/>
      <c r="AJ45" s="155"/>
      <c r="AK45" s="155"/>
      <c r="AL45" s="155"/>
      <c r="AM45" s="103"/>
      <c r="AN45" s="8"/>
      <c r="AO45" s="8"/>
      <c r="AP45" s="8"/>
      <c r="AQ45" s="8"/>
      <c r="AR45" s="8"/>
      <c r="AS45" s="8"/>
      <c r="AT45" s="8"/>
      <c r="AU45" s="8"/>
      <c r="AV45" s="8"/>
      <c r="AW45" s="8"/>
      <c r="AX45" s="8"/>
    </row>
    <row r="46" spans="2:50" ht="15" customHeight="1" x14ac:dyDescent="0.3">
      <c r="B46" s="95" t="s">
        <v>220</v>
      </c>
      <c r="C46" s="95"/>
      <c r="D46" s="95"/>
      <c r="E46" s="95"/>
      <c r="F46" s="95"/>
      <c r="G46" s="95"/>
      <c r="H46" s="95"/>
      <c r="I46" s="346"/>
      <c r="J46" s="346"/>
      <c r="K46" s="346"/>
      <c r="L46" s="346"/>
      <c r="M46" s="346"/>
      <c r="N46" s="346"/>
      <c r="O46" s="346"/>
      <c r="P46" s="334"/>
      <c r="Q46" s="334"/>
      <c r="S46" s="305" t="s">
        <v>0</v>
      </c>
      <c r="T46" s="305"/>
      <c r="U46" s="305"/>
      <c r="V46" s="334"/>
      <c r="X46" s="306" t="s">
        <v>14</v>
      </c>
      <c r="Y46" s="306"/>
      <c r="Z46" s="306"/>
      <c r="AA46" s="348"/>
      <c r="AB46" s="305" t="s">
        <v>0</v>
      </c>
      <c r="AC46" s="305"/>
      <c r="AD46" s="305"/>
      <c r="AF46" s="155"/>
      <c r="AG46" s="155"/>
      <c r="AH46" s="155"/>
      <c r="AI46" s="155"/>
      <c r="AJ46" s="155"/>
      <c r="AK46" s="155"/>
      <c r="AL46" s="155"/>
      <c r="AM46" s="103"/>
      <c r="AN46" s="8"/>
      <c r="AO46" s="8"/>
      <c r="AP46" s="8"/>
      <c r="AQ46" s="8"/>
      <c r="AR46" s="8"/>
      <c r="AS46" s="8"/>
      <c r="AT46" s="8"/>
      <c r="AU46" s="8"/>
      <c r="AV46" s="8"/>
      <c r="AW46" s="8"/>
      <c r="AX46" s="8"/>
    </row>
    <row r="47" spans="2:50" ht="15" customHeight="1" x14ac:dyDescent="0.3">
      <c r="B47" s="95" t="s">
        <v>221</v>
      </c>
      <c r="C47" s="95"/>
      <c r="D47" s="95"/>
      <c r="E47" s="95"/>
      <c r="F47" s="95"/>
      <c r="G47" s="95"/>
      <c r="H47" s="95"/>
      <c r="I47" s="346"/>
      <c r="J47" s="346"/>
      <c r="K47" s="346"/>
      <c r="L47" s="346"/>
      <c r="M47" s="346"/>
      <c r="N47" s="346"/>
      <c r="O47" s="346"/>
      <c r="P47" s="334"/>
      <c r="Q47" s="334"/>
      <c r="S47" s="305" t="s">
        <v>0</v>
      </c>
      <c r="T47" s="305"/>
      <c r="U47" s="305"/>
      <c r="V47" s="334"/>
      <c r="X47" s="306" t="s">
        <v>14</v>
      </c>
      <c r="Y47" s="306"/>
      <c r="Z47" s="306"/>
      <c r="AA47" s="348"/>
      <c r="AB47" s="305" t="s">
        <v>0</v>
      </c>
      <c r="AC47" s="305"/>
      <c r="AD47" s="305"/>
      <c r="AF47" s="155"/>
      <c r="AG47" s="155"/>
      <c r="AH47" s="155"/>
      <c r="AI47" s="155"/>
      <c r="AJ47" s="155"/>
      <c r="AK47" s="155"/>
      <c r="AL47" s="155"/>
      <c r="AM47" s="103"/>
      <c r="AN47" s="8"/>
      <c r="AO47" s="8"/>
      <c r="AP47" s="8"/>
      <c r="AQ47" s="8"/>
      <c r="AR47" s="8"/>
      <c r="AS47" s="8"/>
      <c r="AT47" s="8"/>
      <c r="AU47" s="8"/>
      <c r="AV47" s="8"/>
      <c r="AW47" s="8"/>
      <c r="AX47" s="8"/>
    </row>
    <row r="48" spans="2:50" ht="15" customHeight="1" x14ac:dyDescent="0.3">
      <c r="B48" s="95" t="s">
        <v>191</v>
      </c>
      <c r="C48" s="95"/>
      <c r="D48" s="95"/>
      <c r="E48" s="95"/>
      <c r="F48" s="95"/>
      <c r="G48" s="95"/>
      <c r="H48" s="95"/>
      <c r="I48" s="346"/>
      <c r="J48" s="346"/>
      <c r="K48" s="346"/>
      <c r="L48" s="346"/>
      <c r="M48" s="346"/>
      <c r="N48" s="346"/>
      <c r="O48" s="346"/>
      <c r="P48" s="334"/>
      <c r="Q48" s="334"/>
      <c r="S48" s="305" t="s">
        <v>0</v>
      </c>
      <c r="T48" s="305"/>
      <c r="U48" s="305"/>
      <c r="V48" s="334"/>
      <c r="X48" s="306" t="s">
        <v>14</v>
      </c>
      <c r="Y48" s="306"/>
      <c r="Z48" s="306"/>
      <c r="AA48" s="348"/>
      <c r="AB48" s="305" t="s">
        <v>0</v>
      </c>
      <c r="AC48" s="305"/>
      <c r="AD48" s="305"/>
      <c r="AF48" s="155"/>
      <c r="AG48" s="155"/>
      <c r="AH48" s="155"/>
      <c r="AI48" s="155"/>
      <c r="AJ48" s="155"/>
      <c r="AK48" s="155"/>
      <c r="AL48" s="155"/>
      <c r="AM48" s="103"/>
      <c r="AN48" s="8"/>
      <c r="AO48" s="8"/>
      <c r="AP48" s="8"/>
      <c r="AQ48" s="8"/>
      <c r="AR48" s="8"/>
      <c r="AS48" s="8"/>
      <c r="AT48" s="8"/>
      <c r="AU48" s="8"/>
      <c r="AV48" s="8"/>
      <c r="AW48" s="8"/>
      <c r="AX48" s="8"/>
    </row>
    <row r="49" spans="2:50" ht="15" hidden="1" customHeight="1" x14ac:dyDescent="0.3">
      <c r="B49" s="117" t="s">
        <v>44</v>
      </c>
      <c r="C49" s="95"/>
      <c r="D49" s="95"/>
      <c r="E49" s="95"/>
      <c r="F49" s="95"/>
      <c r="G49" s="95"/>
      <c r="H49" s="95"/>
      <c r="I49" s="155"/>
      <c r="J49" s="155"/>
      <c r="K49" s="155"/>
      <c r="L49" s="155"/>
      <c r="M49" s="155"/>
      <c r="N49" s="155"/>
      <c r="O49" s="155"/>
      <c r="P49" s="334"/>
      <c r="Q49" s="334"/>
      <c r="S49" s="306" t="s">
        <v>0</v>
      </c>
      <c r="T49" s="306"/>
      <c r="U49" s="306"/>
      <c r="V49" s="334"/>
      <c r="X49" s="306" t="s">
        <v>14</v>
      </c>
      <c r="Y49" s="306"/>
      <c r="Z49" s="306"/>
      <c r="AA49" s="348"/>
      <c r="AB49" s="305" t="s">
        <v>0</v>
      </c>
      <c r="AC49" s="305"/>
      <c r="AD49" s="305"/>
      <c r="AF49" s="155"/>
      <c r="AG49" s="155"/>
      <c r="AH49" s="155"/>
      <c r="AI49" s="155"/>
      <c r="AJ49" s="155"/>
      <c r="AK49" s="155"/>
      <c r="AL49" s="155"/>
      <c r="AM49" s="103"/>
      <c r="AN49" s="8"/>
      <c r="AO49" s="8"/>
      <c r="AP49" s="8"/>
      <c r="AQ49" s="8"/>
      <c r="AR49" s="8"/>
      <c r="AS49" s="8"/>
      <c r="AT49" s="8"/>
      <c r="AU49" s="8"/>
      <c r="AV49" s="8"/>
      <c r="AW49" s="8"/>
      <c r="AX49" s="8"/>
    </row>
    <row r="50" spans="2:50" ht="15" hidden="1" customHeight="1" x14ac:dyDescent="0.3">
      <c r="B50" s="117" t="s">
        <v>45</v>
      </c>
      <c r="C50" s="95"/>
      <c r="D50" s="95"/>
      <c r="E50" s="95"/>
      <c r="F50" s="95"/>
      <c r="G50" s="95"/>
      <c r="H50" s="95"/>
      <c r="I50" s="155"/>
      <c r="J50" s="155"/>
      <c r="K50" s="155"/>
      <c r="L50" s="155"/>
      <c r="M50" s="155"/>
      <c r="N50" s="155"/>
      <c r="O50" s="155"/>
      <c r="P50" s="334"/>
      <c r="Q50" s="334"/>
      <c r="S50" s="306" t="s">
        <v>0</v>
      </c>
      <c r="T50" s="306"/>
      <c r="U50" s="306"/>
      <c r="V50" s="334"/>
      <c r="X50" s="306" t="s">
        <v>14</v>
      </c>
      <c r="Y50" s="306"/>
      <c r="Z50" s="306"/>
      <c r="AA50" s="348"/>
      <c r="AB50" s="305" t="s">
        <v>0</v>
      </c>
      <c r="AC50" s="305"/>
      <c r="AD50" s="305"/>
      <c r="AF50" s="155"/>
      <c r="AG50" s="155"/>
      <c r="AH50" s="155"/>
      <c r="AI50" s="155"/>
      <c r="AJ50" s="155"/>
      <c r="AK50" s="155"/>
      <c r="AL50" s="155"/>
      <c r="AM50" s="103"/>
      <c r="AN50" s="8"/>
      <c r="AO50" s="8"/>
      <c r="AP50" s="8"/>
      <c r="AQ50" s="8"/>
      <c r="AR50" s="8"/>
      <c r="AS50" s="8"/>
      <c r="AT50" s="8"/>
      <c r="AU50" s="8"/>
      <c r="AV50" s="8"/>
      <c r="AW50" s="8"/>
      <c r="AX50" s="8"/>
    </row>
    <row r="51" spans="2:50" ht="15" hidden="1" customHeight="1" x14ac:dyDescent="0.3">
      <c r="B51" s="117" t="s">
        <v>46</v>
      </c>
      <c r="C51" s="95"/>
      <c r="D51" s="95"/>
      <c r="E51" s="95"/>
      <c r="F51" s="95"/>
      <c r="G51" s="95"/>
      <c r="H51" s="95"/>
      <c r="I51" s="155"/>
      <c r="J51" s="155"/>
      <c r="K51" s="155"/>
      <c r="L51" s="155"/>
      <c r="M51" s="155"/>
      <c r="N51" s="155"/>
      <c r="O51" s="155"/>
      <c r="P51" s="334"/>
      <c r="Q51" s="334"/>
      <c r="S51" s="306" t="s">
        <v>0</v>
      </c>
      <c r="T51" s="306"/>
      <c r="U51" s="306"/>
      <c r="V51" s="334"/>
      <c r="X51" s="306" t="s">
        <v>14</v>
      </c>
      <c r="Y51" s="306"/>
      <c r="Z51" s="306"/>
      <c r="AA51" s="348"/>
      <c r="AB51" s="305" t="s">
        <v>0</v>
      </c>
      <c r="AC51" s="305"/>
      <c r="AD51" s="305"/>
      <c r="AF51" s="155"/>
      <c r="AG51" s="155"/>
      <c r="AH51" s="155"/>
      <c r="AI51" s="155"/>
      <c r="AJ51" s="155"/>
      <c r="AK51" s="155"/>
      <c r="AL51" s="155"/>
      <c r="AM51" s="103"/>
      <c r="AN51" s="8"/>
      <c r="AO51" s="8"/>
      <c r="AP51" s="8"/>
      <c r="AQ51" s="8"/>
      <c r="AR51" s="8"/>
      <c r="AS51" s="8"/>
      <c r="AT51" s="8"/>
      <c r="AU51" s="8"/>
      <c r="AV51" s="8"/>
      <c r="AW51" s="8"/>
      <c r="AX51" s="8"/>
    </row>
    <row r="52" spans="2:50" ht="15" hidden="1" customHeight="1" x14ac:dyDescent="0.3">
      <c r="B52" s="117" t="s">
        <v>47</v>
      </c>
      <c r="C52" s="123"/>
      <c r="D52" s="123"/>
      <c r="E52" s="123"/>
      <c r="F52" s="123"/>
      <c r="G52" s="123"/>
      <c r="I52" s="155"/>
      <c r="J52" s="155"/>
      <c r="K52" s="155"/>
      <c r="L52" s="155"/>
      <c r="M52" s="155"/>
      <c r="N52" s="155"/>
      <c r="O52" s="155"/>
      <c r="P52" s="334"/>
      <c r="Q52" s="334"/>
      <c r="S52" s="306" t="s">
        <v>0</v>
      </c>
      <c r="T52" s="306"/>
      <c r="U52" s="306"/>
      <c r="V52" s="334"/>
      <c r="X52" s="306" t="s">
        <v>14</v>
      </c>
      <c r="Y52" s="306"/>
      <c r="Z52" s="306"/>
      <c r="AA52" s="348"/>
      <c r="AB52" s="305" t="s">
        <v>0</v>
      </c>
      <c r="AC52" s="305"/>
      <c r="AD52" s="305"/>
      <c r="AF52" s="155"/>
      <c r="AG52" s="155"/>
      <c r="AH52" s="155"/>
      <c r="AI52" s="155"/>
      <c r="AJ52" s="155"/>
      <c r="AK52" s="155"/>
      <c r="AL52" s="155"/>
      <c r="AM52" s="103"/>
      <c r="AN52" s="8"/>
      <c r="AO52" s="8"/>
      <c r="AP52" s="8"/>
      <c r="AQ52" s="8"/>
      <c r="AR52" s="8"/>
      <c r="AS52" s="8"/>
      <c r="AT52" s="8"/>
      <c r="AU52" s="8"/>
      <c r="AV52" s="8"/>
      <c r="AW52" s="8"/>
      <c r="AX52" s="8"/>
    </row>
    <row r="53" spans="2:50" ht="12.75" hidden="1" customHeight="1" x14ac:dyDescent="0.3">
      <c r="B53" s="117" t="s">
        <v>58</v>
      </c>
      <c r="I53" s="155"/>
      <c r="J53" s="155"/>
      <c r="K53" s="155"/>
      <c r="L53" s="155"/>
      <c r="M53" s="155"/>
      <c r="N53" s="155"/>
      <c r="O53" s="155"/>
      <c r="P53" s="334"/>
      <c r="Q53" s="334"/>
      <c r="S53" s="306" t="s">
        <v>0</v>
      </c>
      <c r="T53" s="306"/>
      <c r="U53" s="306"/>
      <c r="V53" s="334"/>
      <c r="X53" s="306" t="s">
        <v>14</v>
      </c>
      <c r="Y53" s="306"/>
      <c r="Z53" s="306"/>
      <c r="AA53" s="348"/>
      <c r="AB53" s="305" t="s">
        <v>0</v>
      </c>
      <c r="AC53" s="305"/>
      <c r="AD53" s="305"/>
      <c r="AF53" s="155"/>
      <c r="AG53" s="155"/>
      <c r="AH53" s="155"/>
      <c r="AI53" s="155"/>
      <c r="AJ53" s="155"/>
      <c r="AK53" s="155"/>
      <c r="AL53" s="155"/>
    </row>
    <row r="54" spans="2:50" hidden="1" x14ac:dyDescent="0.3">
      <c r="B54" s="117" t="s">
        <v>59</v>
      </c>
      <c r="I54" s="155"/>
      <c r="J54" s="155"/>
      <c r="K54" s="155"/>
      <c r="L54" s="155"/>
      <c r="M54" s="155"/>
      <c r="N54" s="155"/>
      <c r="O54" s="155"/>
      <c r="P54" s="334"/>
      <c r="Q54" s="334"/>
      <c r="S54" s="306" t="s">
        <v>0</v>
      </c>
      <c r="T54" s="306"/>
      <c r="U54" s="306"/>
      <c r="V54" s="334"/>
      <c r="X54" s="306" t="s">
        <v>14</v>
      </c>
      <c r="Y54" s="306"/>
      <c r="Z54" s="306"/>
      <c r="AA54" s="348"/>
      <c r="AB54" s="305" t="s">
        <v>0</v>
      </c>
      <c r="AC54" s="305"/>
      <c r="AD54" s="305"/>
      <c r="AF54" s="155"/>
      <c r="AG54" s="155"/>
      <c r="AH54" s="155"/>
      <c r="AI54" s="155"/>
      <c r="AJ54" s="155"/>
      <c r="AK54" s="155"/>
      <c r="AL54" s="155"/>
    </row>
    <row r="55" spans="2:50" ht="15" hidden="1" customHeight="1" x14ac:dyDescent="0.3">
      <c r="B55" s="117" t="s">
        <v>60</v>
      </c>
      <c r="I55" s="155"/>
      <c r="J55" s="155"/>
      <c r="K55" s="155"/>
      <c r="L55" s="155"/>
      <c r="M55" s="155"/>
      <c r="N55" s="155"/>
      <c r="O55" s="155"/>
      <c r="P55" s="334"/>
      <c r="Q55" s="334"/>
      <c r="S55" s="306" t="s">
        <v>0</v>
      </c>
      <c r="T55" s="306"/>
      <c r="U55" s="306"/>
      <c r="V55" s="334"/>
      <c r="X55" s="306" t="s">
        <v>14</v>
      </c>
      <c r="Y55" s="306"/>
      <c r="Z55" s="306"/>
      <c r="AA55" s="348"/>
      <c r="AB55" s="305" t="s">
        <v>0</v>
      </c>
      <c r="AC55" s="305"/>
      <c r="AD55" s="305"/>
      <c r="AF55" s="155"/>
      <c r="AG55" s="155"/>
      <c r="AH55" s="155"/>
      <c r="AI55" s="155"/>
      <c r="AJ55" s="155"/>
      <c r="AK55" s="155"/>
      <c r="AL55" s="155"/>
    </row>
    <row r="56" spans="2:50" ht="15" hidden="1" customHeight="1" x14ac:dyDescent="0.3">
      <c r="B56" s="117" t="s">
        <v>61</v>
      </c>
      <c r="I56" s="155"/>
      <c r="J56" s="155"/>
      <c r="K56" s="155"/>
      <c r="L56" s="155"/>
      <c r="M56" s="155"/>
      <c r="N56" s="155"/>
      <c r="O56" s="155"/>
      <c r="P56" s="334"/>
      <c r="Q56" s="334"/>
      <c r="S56" s="306" t="s">
        <v>0</v>
      </c>
      <c r="T56" s="306"/>
      <c r="U56" s="306"/>
      <c r="V56" s="334"/>
      <c r="X56" s="306" t="s">
        <v>14</v>
      </c>
      <c r="Y56" s="306"/>
      <c r="Z56" s="306"/>
      <c r="AA56" s="348"/>
      <c r="AB56" s="305" t="s">
        <v>0</v>
      </c>
      <c r="AC56" s="305"/>
      <c r="AD56" s="305"/>
      <c r="AF56" s="155"/>
      <c r="AG56" s="155"/>
      <c r="AH56" s="155"/>
      <c r="AI56" s="155"/>
      <c r="AJ56" s="155"/>
      <c r="AK56" s="155"/>
      <c r="AL56" s="155"/>
    </row>
    <row r="57" spans="2:50" hidden="1" x14ac:dyDescent="0.3">
      <c r="B57" s="117" t="s">
        <v>1324</v>
      </c>
      <c r="G57" s="105"/>
      <c r="I57" s="155"/>
      <c r="J57" s="155"/>
      <c r="K57" s="155"/>
      <c r="L57" s="155"/>
      <c r="M57" s="155"/>
      <c r="N57" s="155"/>
      <c r="O57" s="155"/>
      <c r="P57" s="334"/>
      <c r="Q57" s="334"/>
      <c r="S57" s="355" t="s">
        <v>40</v>
      </c>
      <c r="T57" s="355"/>
      <c r="U57" s="355"/>
      <c r="V57" s="348"/>
      <c r="X57" s="306" t="s">
        <v>14</v>
      </c>
      <c r="Y57" s="306"/>
      <c r="Z57" s="306"/>
      <c r="AA57" s="348"/>
      <c r="AB57" s="306" t="s">
        <v>63</v>
      </c>
      <c r="AC57" s="306"/>
      <c r="AD57" s="306"/>
      <c r="AF57" s="356"/>
      <c r="AG57" s="356"/>
      <c r="AH57" s="356"/>
      <c r="AI57" s="356"/>
      <c r="AJ57" s="356"/>
      <c r="AK57" s="356"/>
      <c r="AL57" s="356"/>
    </row>
    <row r="58" spans="2:50" x14ac:dyDescent="0.3">
      <c r="B58" s="117" t="s">
        <v>75</v>
      </c>
      <c r="G58" s="105"/>
      <c r="I58" s="346"/>
      <c r="J58" s="346"/>
      <c r="K58" s="346"/>
      <c r="L58" s="346"/>
      <c r="M58" s="346"/>
      <c r="N58" s="346"/>
      <c r="O58" s="346"/>
      <c r="P58" s="334"/>
      <c r="Q58" s="334"/>
      <c r="S58" s="306" t="s">
        <v>74</v>
      </c>
      <c r="T58" s="306"/>
      <c r="U58" s="306"/>
      <c r="V58" s="348"/>
      <c r="X58" s="306" t="s">
        <v>14</v>
      </c>
      <c r="Y58" s="306"/>
      <c r="Z58" s="306"/>
      <c r="AA58" s="103"/>
      <c r="AB58" s="306" t="s">
        <v>63</v>
      </c>
      <c r="AC58" s="306"/>
      <c r="AD58" s="306"/>
      <c r="AF58" s="356"/>
      <c r="AG58" s="356"/>
      <c r="AH58" s="356"/>
      <c r="AI58" s="356"/>
      <c r="AJ58" s="356"/>
      <c r="AK58" s="356"/>
      <c r="AL58" s="356"/>
    </row>
    <row r="59" spans="2:50" x14ac:dyDescent="0.3">
      <c r="B59" s="117" t="s">
        <v>76</v>
      </c>
      <c r="G59" s="105"/>
      <c r="I59" s="346"/>
      <c r="J59" s="346"/>
      <c r="K59" s="346"/>
      <c r="L59" s="346"/>
      <c r="M59" s="346"/>
      <c r="N59" s="346"/>
      <c r="O59" s="346"/>
      <c r="P59" s="334"/>
      <c r="Q59" s="334"/>
      <c r="S59" s="306" t="s">
        <v>74</v>
      </c>
      <c r="T59" s="306"/>
      <c r="U59" s="306"/>
      <c r="V59" s="348"/>
      <c r="X59" s="306" t="s">
        <v>14</v>
      </c>
      <c r="Y59" s="306"/>
      <c r="Z59" s="306"/>
      <c r="AA59" s="348"/>
      <c r="AB59" s="306" t="s">
        <v>63</v>
      </c>
      <c r="AC59" s="306"/>
      <c r="AD59" s="306"/>
      <c r="AF59" s="356"/>
      <c r="AG59" s="356"/>
      <c r="AH59" s="356"/>
      <c r="AI59" s="356"/>
      <c r="AJ59" s="356"/>
      <c r="AK59" s="356"/>
      <c r="AL59" s="356"/>
    </row>
    <row r="61" spans="2:50" ht="15" hidden="1" customHeight="1" x14ac:dyDescent="0.3">
      <c r="B61" s="152" t="s">
        <v>23</v>
      </c>
      <c r="C61" s="152"/>
      <c r="D61" s="152"/>
      <c r="E61" s="152"/>
      <c r="F61" s="152"/>
      <c r="G61" s="152"/>
      <c r="H61" s="152"/>
      <c r="I61" s="152"/>
      <c r="J61" s="152"/>
      <c r="K61" s="152"/>
      <c r="L61" s="152"/>
      <c r="M61" s="152"/>
      <c r="N61" s="152"/>
      <c r="O61" s="152"/>
      <c r="P61" s="152"/>
      <c r="Q61" s="152"/>
      <c r="R61" s="152"/>
      <c r="S61" s="152"/>
      <c r="T61" s="152"/>
      <c r="U61" s="152"/>
      <c r="V61" s="152"/>
      <c r="W61" s="152"/>
      <c r="X61" s="152"/>
      <c r="Y61" s="152"/>
      <c r="Z61" s="152"/>
      <c r="AA61" s="152"/>
      <c r="AB61" s="93"/>
    </row>
    <row r="62" spans="2:50" ht="27.75" hidden="1" customHeight="1" x14ac:dyDescent="0.3">
      <c r="B62" s="179" t="s">
        <v>1322</v>
      </c>
      <c r="C62" s="179"/>
      <c r="D62" s="179"/>
      <c r="E62" s="179"/>
      <c r="F62" s="179"/>
      <c r="G62" s="179"/>
      <c r="H62" s="179"/>
      <c r="I62" s="179"/>
      <c r="J62" s="179"/>
      <c r="K62" s="179"/>
      <c r="L62" s="179"/>
      <c r="M62" s="179"/>
      <c r="N62" s="179"/>
      <c r="O62" s="179"/>
      <c r="P62" s="179"/>
      <c r="Q62" s="179"/>
      <c r="R62" s="179"/>
      <c r="S62" s="179"/>
      <c r="T62" s="179"/>
      <c r="U62" s="179"/>
      <c r="V62" s="179"/>
      <c r="W62" s="179"/>
      <c r="X62" s="179"/>
      <c r="Y62" s="179"/>
      <c r="Z62" s="179"/>
      <c r="AA62" s="179"/>
    </row>
    <row r="63" spans="2:50" s="128" customFormat="1" ht="27" hidden="1" customHeight="1" x14ac:dyDescent="0.3">
      <c r="B63" s="176" t="s">
        <v>156</v>
      </c>
      <c r="C63" s="176"/>
      <c r="D63" s="176"/>
      <c r="E63" s="176"/>
      <c r="F63" s="176"/>
      <c r="G63" s="176"/>
      <c r="H63" s="176"/>
      <c r="I63" s="176"/>
      <c r="J63" s="180" t="e">
        <f>IF(#REF!="- seleccione - ",3012808,IF(#REF!="SI",3012808+583202,3012808))</f>
        <v>#REF!</v>
      </c>
      <c r="K63" s="180"/>
      <c r="L63" s="180"/>
      <c r="M63" s="180"/>
      <c r="N63" s="180"/>
      <c r="O63" s="180"/>
      <c r="P63" s="127"/>
      <c r="Q63" s="127"/>
      <c r="R63" s="127"/>
      <c r="S63" s="151" t="s">
        <v>157</v>
      </c>
      <c r="T63" s="151"/>
      <c r="U63" s="151"/>
      <c r="V63" s="151"/>
      <c r="W63" s="181" t="s">
        <v>16</v>
      </c>
      <c r="X63" s="181"/>
      <c r="Y63" s="181"/>
      <c r="Z63" s="181"/>
      <c r="AA63" s="181"/>
      <c r="AB63" s="107"/>
      <c r="AC63" s="181" t="s">
        <v>16</v>
      </c>
      <c r="AD63" s="181"/>
      <c r="AE63" s="181"/>
      <c r="AF63" s="181"/>
      <c r="AG63" s="181"/>
    </row>
    <row r="64" spans="2:50" ht="15" hidden="1" customHeight="1" x14ac:dyDescent="0.3">
      <c r="B64" s="95"/>
      <c r="C64" s="95"/>
      <c r="D64" s="95"/>
      <c r="E64" s="95"/>
      <c r="F64" s="95"/>
      <c r="G64" s="95"/>
      <c r="H64" s="95"/>
      <c r="I64" s="95"/>
      <c r="J64" s="95"/>
      <c r="K64" s="95"/>
      <c r="L64" s="95"/>
      <c r="M64" s="95"/>
      <c r="N64" s="95"/>
      <c r="O64" s="95"/>
      <c r="P64" s="95"/>
      <c r="Q64" s="95"/>
      <c r="R64" s="95"/>
      <c r="S64" s="95"/>
      <c r="T64" s="95"/>
      <c r="U64" s="95"/>
      <c r="V64" s="95"/>
      <c r="W64" s="95"/>
      <c r="X64" s="95"/>
      <c r="Y64" s="95"/>
      <c r="Z64" s="95"/>
    </row>
    <row r="65" spans="1:29" ht="27" hidden="1" customHeight="1" x14ac:dyDescent="0.3">
      <c r="B65" s="148" t="s">
        <v>1321</v>
      </c>
      <c r="C65" s="148"/>
      <c r="D65" s="148"/>
      <c r="E65" s="148"/>
      <c r="F65" s="148"/>
      <c r="G65" s="129"/>
      <c r="H65" s="129"/>
      <c r="I65" s="129"/>
      <c r="J65" s="151" t="s">
        <v>157</v>
      </c>
      <c r="K65" s="151"/>
      <c r="L65" s="151"/>
      <c r="M65" s="151"/>
      <c r="N65" s="181" t="s">
        <v>16</v>
      </c>
      <c r="O65" s="181"/>
      <c r="P65" s="181"/>
      <c r="Q65" s="181"/>
      <c r="R65" s="95"/>
      <c r="S65" s="181" t="s">
        <v>16</v>
      </c>
      <c r="T65" s="181"/>
      <c r="U65" s="181"/>
      <c r="V65" s="181"/>
      <c r="W65" s="181"/>
      <c r="AA65" s="93"/>
      <c r="AB65" s="93"/>
    </row>
    <row r="66" spans="1:29" ht="6" hidden="1" customHeight="1" x14ac:dyDescent="0.3">
      <c r="B66" s="117"/>
      <c r="C66" s="117"/>
      <c r="D66" s="117"/>
      <c r="E66" s="117"/>
      <c r="F66" s="107"/>
      <c r="G66" s="107"/>
      <c r="H66" s="107"/>
      <c r="I66" s="107"/>
      <c r="J66" s="95"/>
      <c r="K66" s="126"/>
      <c r="L66" s="126"/>
      <c r="M66" s="126"/>
      <c r="N66" s="130"/>
      <c r="O66" s="130"/>
      <c r="P66" s="130"/>
      <c r="Q66" s="130"/>
      <c r="R66" s="130"/>
      <c r="S66" s="130"/>
      <c r="T66" s="107"/>
      <c r="U66" s="107"/>
      <c r="V66" s="107"/>
      <c r="W66" s="107"/>
      <c r="X66" s="107"/>
      <c r="Y66" s="107"/>
      <c r="Z66" s="107"/>
      <c r="AA66" s="107"/>
      <c r="AB66" s="107"/>
    </row>
    <row r="67" spans="1:29" s="101" customFormat="1" ht="12.75" hidden="1" customHeight="1" x14ac:dyDescent="0.3">
      <c r="B67" s="176" t="s">
        <v>158</v>
      </c>
      <c r="C67" s="176"/>
      <c r="D67" s="176"/>
      <c r="E67" s="176"/>
      <c r="F67" s="176"/>
      <c r="G67" s="176"/>
      <c r="H67" s="176"/>
      <c r="I67" s="126"/>
      <c r="J67" s="176" t="s">
        <v>24</v>
      </c>
      <c r="K67" s="176"/>
      <c r="L67" s="177" t="s">
        <v>25</v>
      </c>
      <c r="M67" s="177"/>
      <c r="N67" s="177"/>
      <c r="O67" s="177"/>
      <c r="P67" s="131"/>
      <c r="Q67" s="176" t="s">
        <v>26</v>
      </c>
      <c r="R67" s="176"/>
      <c r="S67" s="177" t="s">
        <v>25</v>
      </c>
      <c r="T67" s="177"/>
      <c r="U67" s="177"/>
      <c r="V67" s="177"/>
      <c r="W67" s="131"/>
      <c r="X67" s="131"/>
      <c r="Y67" s="131"/>
      <c r="Z67" s="131"/>
      <c r="AA67" s="131"/>
      <c r="AB67" s="107"/>
    </row>
    <row r="68" spans="1:29" s="101" customFormat="1" ht="6" hidden="1" customHeight="1" x14ac:dyDescent="0.3">
      <c r="B68" s="126"/>
      <c r="C68" s="126"/>
      <c r="D68" s="126"/>
      <c r="E68" s="126"/>
      <c r="F68" s="126"/>
      <c r="G68" s="126"/>
      <c r="H68" s="126"/>
      <c r="I68" s="126"/>
      <c r="J68" s="126"/>
      <c r="K68" s="126"/>
      <c r="L68" s="132"/>
      <c r="M68" s="132"/>
      <c r="N68" s="132"/>
      <c r="O68" s="132"/>
      <c r="P68" s="131"/>
      <c r="Q68" s="126"/>
      <c r="R68" s="126"/>
      <c r="S68" s="132"/>
      <c r="T68" s="132"/>
      <c r="U68" s="132"/>
      <c r="V68" s="132"/>
      <c r="W68" s="131"/>
      <c r="X68" s="131"/>
      <c r="Y68" s="131"/>
      <c r="Z68" s="131"/>
      <c r="AA68" s="131"/>
      <c r="AB68" s="107"/>
    </row>
    <row r="69" spans="1:29" s="101" customFormat="1" ht="14.4" hidden="1" x14ac:dyDescent="0.3">
      <c r="B69" s="176" t="s">
        <v>159</v>
      </c>
      <c r="C69" s="176"/>
      <c r="D69" s="176"/>
      <c r="E69" s="176"/>
      <c r="F69" s="176"/>
      <c r="G69" s="176"/>
      <c r="H69" s="176"/>
      <c r="I69" s="176"/>
      <c r="J69" s="176"/>
      <c r="K69" s="163"/>
      <c r="L69" s="163"/>
      <c r="M69" s="163"/>
      <c r="N69" s="163"/>
      <c r="O69" s="163"/>
      <c r="P69" s="163"/>
      <c r="Q69" s="163"/>
      <c r="R69" s="163"/>
      <c r="S69" s="163"/>
      <c r="T69" s="163"/>
      <c r="U69" s="163"/>
      <c r="V69" s="163"/>
      <c r="W69" s="163"/>
      <c r="X69" s="163"/>
      <c r="Y69" s="163"/>
      <c r="Z69" s="163"/>
      <c r="AA69" s="163"/>
      <c r="AB69" s="131"/>
    </row>
    <row r="70" spans="1:29" s="101" customFormat="1" ht="6" hidden="1" customHeight="1" x14ac:dyDescent="0.3">
      <c r="B70" s="126"/>
      <c r="C70" s="126"/>
      <c r="D70" s="126"/>
      <c r="E70" s="126"/>
      <c r="F70" s="126"/>
      <c r="G70" s="126"/>
      <c r="H70" s="126"/>
      <c r="I70" s="126"/>
      <c r="J70" s="126"/>
      <c r="K70" s="126"/>
      <c r="L70" s="132"/>
      <c r="M70" s="132"/>
      <c r="N70" s="132"/>
      <c r="O70" s="132"/>
      <c r="P70" s="131"/>
      <c r="Q70" s="126"/>
      <c r="R70" s="126"/>
      <c r="S70" s="132"/>
      <c r="T70" s="132"/>
      <c r="U70" s="132"/>
      <c r="V70" s="132"/>
      <c r="W70" s="131"/>
      <c r="X70" s="131"/>
      <c r="Y70" s="131"/>
      <c r="Z70" s="131"/>
      <c r="AA70" s="131"/>
      <c r="AB70" s="131"/>
    </row>
    <row r="71" spans="1:29" s="101" customFormat="1" ht="14.4" hidden="1" x14ac:dyDescent="0.3">
      <c r="B71" s="176" t="s">
        <v>160</v>
      </c>
      <c r="C71" s="176"/>
      <c r="D71" s="176"/>
      <c r="E71" s="176"/>
      <c r="F71" s="176"/>
      <c r="G71" s="176"/>
      <c r="H71" s="176"/>
      <c r="I71" s="176"/>
      <c r="J71" s="176"/>
      <c r="K71" s="176"/>
      <c r="L71" s="176"/>
      <c r="M71" s="176"/>
      <c r="N71" s="176"/>
      <c r="O71" s="176"/>
      <c r="P71" s="177" t="s">
        <v>16</v>
      </c>
      <c r="Q71" s="177"/>
      <c r="R71" s="177"/>
      <c r="S71" s="132"/>
      <c r="T71" s="95"/>
      <c r="U71" s="95"/>
      <c r="V71" s="95"/>
      <c r="W71" s="131"/>
      <c r="X71" s="131"/>
      <c r="Y71" s="131"/>
      <c r="Z71" s="131"/>
      <c r="AA71" s="131"/>
      <c r="AB71" s="131"/>
    </row>
    <row r="72" spans="1:29" s="101" customFormat="1" ht="6" hidden="1" customHeight="1" x14ac:dyDescent="0.3">
      <c r="B72" s="126"/>
      <c r="C72" s="126"/>
      <c r="D72" s="126"/>
      <c r="E72" s="126"/>
      <c r="F72" s="126"/>
      <c r="G72" s="126"/>
      <c r="H72" s="126"/>
      <c r="I72" s="126"/>
      <c r="J72" s="126"/>
      <c r="K72" s="126"/>
      <c r="L72" s="132"/>
      <c r="M72" s="132"/>
      <c r="N72" s="132"/>
      <c r="O72" s="132"/>
      <c r="P72" s="131"/>
      <c r="Q72" s="126"/>
      <c r="R72" s="126"/>
      <c r="S72" s="132"/>
      <c r="T72" s="132"/>
      <c r="U72" s="132"/>
      <c r="V72" s="132"/>
      <c r="W72" s="131"/>
      <c r="X72" s="131"/>
      <c r="Y72" s="131"/>
      <c r="Z72" s="131"/>
      <c r="AA72" s="131"/>
      <c r="AB72" s="131"/>
    </row>
    <row r="73" spans="1:29" s="101" customFormat="1" ht="14.4" hidden="1" x14ac:dyDescent="0.3">
      <c r="B73" s="126" t="s">
        <v>27</v>
      </c>
      <c r="C73" s="126"/>
      <c r="D73" s="126"/>
      <c r="E73" s="126"/>
      <c r="F73" s="126"/>
      <c r="G73" s="126"/>
      <c r="H73" s="126"/>
      <c r="I73" s="126"/>
      <c r="J73" s="126"/>
      <c r="K73" s="126"/>
      <c r="L73" s="132"/>
      <c r="M73" s="177"/>
      <c r="N73" s="177"/>
      <c r="O73" s="177"/>
      <c r="P73" s="177"/>
      <c r="Q73" s="177"/>
      <c r="R73" s="177"/>
      <c r="S73" s="177"/>
      <c r="T73" s="177"/>
      <c r="U73" s="177"/>
      <c r="V73" s="177"/>
      <c r="W73" s="177"/>
      <c r="X73" s="177"/>
      <c r="Y73" s="177"/>
      <c r="Z73" s="177"/>
      <c r="AA73" s="177"/>
      <c r="AB73" s="131"/>
    </row>
    <row r="74" spans="1:29" s="101" customFormat="1" ht="6" hidden="1" customHeight="1" x14ac:dyDescent="0.3">
      <c r="B74" s="126"/>
      <c r="C74" s="126"/>
      <c r="D74" s="126"/>
      <c r="E74" s="126"/>
      <c r="F74" s="126"/>
      <c r="G74" s="126"/>
      <c r="H74" s="126"/>
      <c r="I74" s="126"/>
      <c r="J74" s="126"/>
      <c r="K74" s="126"/>
      <c r="L74" s="132"/>
      <c r="M74" s="132"/>
      <c r="N74" s="132"/>
      <c r="O74" s="132"/>
      <c r="P74" s="132"/>
      <c r="Q74" s="132"/>
      <c r="R74" s="132"/>
      <c r="S74" s="132"/>
      <c r="T74" s="132"/>
      <c r="U74" s="132"/>
      <c r="V74" s="132"/>
      <c r="W74" s="132"/>
      <c r="X74" s="132"/>
      <c r="Y74" s="132"/>
      <c r="Z74" s="132"/>
      <c r="AA74" s="132"/>
    </row>
    <row r="75" spans="1:29" s="101" customFormat="1" ht="14.4" hidden="1" x14ac:dyDescent="0.3">
      <c r="B75" s="163"/>
      <c r="C75" s="163"/>
      <c r="D75" s="163"/>
      <c r="E75" s="163"/>
      <c r="F75" s="163"/>
      <c r="G75" s="163"/>
      <c r="H75" s="163"/>
      <c r="I75" s="163"/>
      <c r="J75" s="163"/>
      <c r="K75" s="163"/>
      <c r="L75" s="163"/>
      <c r="M75" s="163"/>
      <c r="N75" s="163"/>
      <c r="O75" s="163"/>
      <c r="P75" s="163"/>
      <c r="Q75" s="163"/>
      <c r="R75" s="163"/>
      <c r="S75" s="163"/>
      <c r="T75" s="163"/>
      <c r="U75" s="163"/>
      <c r="V75" s="163"/>
      <c r="W75" s="163"/>
      <c r="X75" s="163"/>
      <c r="Y75" s="163"/>
      <c r="Z75" s="163"/>
      <c r="AA75" s="163"/>
    </row>
    <row r="76" spans="1:29" ht="9" hidden="1" customHeight="1" x14ac:dyDescent="0.3">
      <c r="B76" s="126"/>
      <c r="C76" s="126"/>
      <c r="D76" s="126"/>
      <c r="E76" s="126"/>
      <c r="F76" s="126"/>
      <c r="G76" s="126"/>
      <c r="H76" s="126"/>
      <c r="I76" s="126"/>
      <c r="J76" s="126"/>
      <c r="K76" s="126"/>
      <c r="L76" s="132"/>
      <c r="M76" s="132"/>
      <c r="N76" s="132"/>
      <c r="O76" s="132"/>
      <c r="P76" s="101"/>
      <c r="Q76" s="126"/>
      <c r="R76" s="126"/>
      <c r="S76" s="132"/>
      <c r="T76" s="132"/>
      <c r="U76" s="132"/>
      <c r="V76" s="132"/>
      <c r="W76" s="101"/>
      <c r="X76" s="101"/>
      <c r="Y76" s="101"/>
      <c r="Z76" s="101"/>
      <c r="AA76" s="101"/>
      <c r="AB76" s="101"/>
      <c r="AC76" s="126"/>
    </row>
    <row r="77" spans="1:29" ht="15" hidden="1" customHeight="1" x14ac:dyDescent="0.3">
      <c r="B77" s="154" t="str">
        <f>IF(W63=N65,"Datos de contacto para la facturación","Datos de contacto para la facturación de la funcionalidad")</f>
        <v>Datos de contacto para la facturación</v>
      </c>
      <c r="C77" s="154"/>
      <c r="D77" s="154"/>
      <c r="E77" s="154"/>
      <c r="F77" s="154"/>
      <c r="G77" s="154"/>
      <c r="H77" s="154"/>
      <c r="I77" s="154"/>
      <c r="J77" s="154"/>
      <c r="K77" s="154"/>
      <c r="L77" s="154"/>
      <c r="M77" s="154"/>
      <c r="N77" s="154"/>
      <c r="O77" s="154"/>
      <c r="P77" s="154"/>
      <c r="Q77" s="154"/>
      <c r="R77" s="154"/>
      <c r="S77" s="154"/>
      <c r="T77" s="154"/>
      <c r="U77" s="154"/>
      <c r="V77" s="154"/>
      <c r="W77" s="154"/>
      <c r="X77" s="154"/>
      <c r="Y77" s="154"/>
      <c r="Z77" s="154"/>
      <c r="AA77" s="154"/>
      <c r="AB77" s="93"/>
    </row>
    <row r="78" spans="1:29" ht="14.25" hidden="1" customHeight="1" x14ac:dyDescent="0.3">
      <c r="A78" s="95"/>
      <c r="B78" s="161" t="s">
        <v>28</v>
      </c>
      <c r="C78" s="161"/>
      <c r="D78" s="161"/>
      <c r="E78" s="161"/>
      <c r="F78" s="161"/>
      <c r="G78" s="161"/>
      <c r="H78" s="161"/>
      <c r="I78" s="161"/>
      <c r="J78" s="161"/>
      <c r="K78" s="161"/>
      <c r="L78" s="161"/>
      <c r="M78" s="161"/>
      <c r="N78" s="161"/>
      <c r="O78" s="161"/>
      <c r="P78" s="161"/>
      <c r="Q78" s="161"/>
      <c r="R78" s="161"/>
      <c r="S78" s="161"/>
      <c r="T78" s="161"/>
      <c r="U78" s="161"/>
      <c r="V78" s="161"/>
      <c r="W78" s="161"/>
      <c r="X78" s="161"/>
      <c r="Y78" s="161"/>
      <c r="Z78" s="161"/>
      <c r="AA78" s="161"/>
      <c r="AB78" s="93"/>
    </row>
    <row r="79" spans="1:29" ht="6" hidden="1" customHeight="1" x14ac:dyDescent="0.3">
      <c r="A79" s="95"/>
      <c r="B79" s="117"/>
      <c r="C79" s="117"/>
      <c r="D79" s="117"/>
      <c r="E79" s="117"/>
      <c r="F79" s="117"/>
      <c r="G79" s="117"/>
      <c r="H79" s="117"/>
      <c r="I79" s="117"/>
      <c r="J79" s="117"/>
      <c r="K79" s="117"/>
      <c r="L79" s="117"/>
      <c r="M79" s="117"/>
      <c r="N79" s="117"/>
      <c r="O79" s="117"/>
      <c r="P79" s="117"/>
      <c r="Q79" s="117"/>
      <c r="R79" s="117"/>
      <c r="S79" s="117"/>
      <c r="T79" s="117"/>
      <c r="U79" s="117"/>
      <c r="V79" s="117"/>
      <c r="W79" s="117"/>
      <c r="X79" s="117"/>
      <c r="Y79" s="117"/>
      <c r="Z79" s="117"/>
      <c r="AA79" s="117"/>
      <c r="AB79" s="93"/>
    </row>
    <row r="80" spans="1:29" ht="15" hidden="1" customHeight="1" x14ac:dyDescent="0.3">
      <c r="A80" s="95"/>
      <c r="B80" s="157" t="s">
        <v>161</v>
      </c>
      <c r="C80" s="157"/>
      <c r="D80" s="157"/>
      <c r="E80" s="157"/>
      <c r="F80" s="157"/>
      <c r="G80" s="157"/>
      <c r="H80" s="157"/>
      <c r="I80" s="157"/>
      <c r="J80" s="157"/>
      <c r="K80" s="157"/>
      <c r="L80" s="162"/>
      <c r="M80" s="162"/>
      <c r="N80" s="162"/>
      <c r="O80" s="162"/>
      <c r="P80" s="162"/>
      <c r="Q80" s="162"/>
      <c r="R80" s="162"/>
      <c r="S80" s="162"/>
      <c r="T80" s="162"/>
      <c r="U80" s="162"/>
      <c r="V80" s="162"/>
      <c r="W80" s="162"/>
      <c r="X80" s="162"/>
      <c r="Y80" s="162"/>
      <c r="Z80" s="162"/>
      <c r="AA80" s="162"/>
      <c r="AB80" s="93"/>
    </row>
    <row r="81" spans="1:37" ht="6" hidden="1" customHeight="1" x14ac:dyDescent="0.3">
      <c r="A81" s="95"/>
      <c r="B81" s="95"/>
      <c r="C81" s="95"/>
      <c r="D81" s="95"/>
      <c r="E81" s="107"/>
      <c r="F81" s="107"/>
      <c r="G81" s="107"/>
      <c r="H81" s="107"/>
      <c r="I81" s="107"/>
      <c r="J81" s="107"/>
      <c r="K81" s="107"/>
      <c r="L81" s="107"/>
      <c r="M81" s="107"/>
      <c r="N81" s="107"/>
      <c r="O81" s="107"/>
      <c r="P81" s="107"/>
      <c r="Q81" s="95"/>
      <c r="R81" s="95"/>
      <c r="S81" s="95"/>
      <c r="T81" s="107"/>
      <c r="U81" s="107"/>
      <c r="V81" s="107"/>
      <c r="W81" s="107"/>
      <c r="X81" s="107"/>
      <c r="Y81" s="107"/>
      <c r="Z81" s="107"/>
      <c r="AA81" s="107"/>
      <c r="AB81" s="93"/>
    </row>
    <row r="82" spans="1:37" ht="15" hidden="1" customHeight="1" x14ac:dyDescent="0.3">
      <c r="A82" s="95"/>
      <c r="B82" s="157" t="s">
        <v>162</v>
      </c>
      <c r="C82" s="157"/>
      <c r="D82" s="157"/>
      <c r="E82" s="162"/>
      <c r="F82" s="162"/>
      <c r="G82" s="162"/>
      <c r="H82" s="162"/>
      <c r="I82" s="162"/>
      <c r="J82" s="162"/>
      <c r="K82" s="162"/>
      <c r="L82" s="162"/>
      <c r="M82" s="162"/>
      <c r="N82" s="162"/>
      <c r="O82" s="162"/>
      <c r="P82" s="162"/>
      <c r="Q82" s="95"/>
      <c r="R82" s="157" t="s">
        <v>163</v>
      </c>
      <c r="S82" s="157"/>
      <c r="T82" s="162"/>
      <c r="U82" s="162"/>
      <c r="V82" s="162"/>
      <c r="W82" s="162"/>
      <c r="X82" s="162"/>
      <c r="Y82" s="162"/>
      <c r="Z82" s="162"/>
      <c r="AA82" s="162"/>
      <c r="AB82" s="93"/>
    </row>
    <row r="83" spans="1:37" ht="6" hidden="1" customHeight="1" x14ac:dyDescent="0.3">
      <c r="A83" s="95"/>
      <c r="B83" s="95"/>
      <c r="C83" s="95"/>
      <c r="D83" s="95"/>
      <c r="E83" s="95"/>
      <c r="F83" s="95"/>
      <c r="G83" s="95"/>
      <c r="H83" s="95"/>
      <c r="I83" s="95"/>
      <c r="J83" s="95"/>
      <c r="K83" s="95"/>
      <c r="L83" s="95"/>
      <c r="M83" s="95"/>
      <c r="N83" s="95"/>
      <c r="O83" s="95"/>
      <c r="P83" s="95"/>
      <c r="Q83" s="95"/>
      <c r="R83" s="95"/>
      <c r="S83" s="95"/>
      <c r="T83" s="95"/>
      <c r="U83" s="95"/>
      <c r="V83" s="95"/>
      <c r="W83" s="95"/>
      <c r="X83" s="95"/>
      <c r="Y83" s="95"/>
      <c r="Z83" s="95"/>
      <c r="AB83" s="93"/>
    </row>
    <row r="84" spans="1:37" ht="15" hidden="1" customHeight="1" x14ac:dyDescent="0.3">
      <c r="A84" s="95"/>
      <c r="B84" s="157" t="s">
        <v>164</v>
      </c>
      <c r="C84" s="157"/>
      <c r="D84" s="157"/>
      <c r="E84" s="163"/>
      <c r="F84" s="163"/>
      <c r="G84" s="163"/>
      <c r="H84" s="163"/>
      <c r="I84" s="127"/>
      <c r="J84" s="176" t="s">
        <v>165</v>
      </c>
      <c r="K84" s="176"/>
      <c r="L84" s="176"/>
      <c r="M84" s="176"/>
      <c r="N84" s="176"/>
      <c r="O84" s="176"/>
      <c r="P84" s="176"/>
      <c r="Q84" s="176"/>
      <c r="R84" s="162"/>
      <c r="S84" s="162"/>
      <c r="T84" s="162"/>
      <c r="U84" s="162"/>
      <c r="V84" s="162"/>
      <c r="W84" s="162"/>
      <c r="X84" s="162"/>
      <c r="Y84" s="162"/>
      <c r="Z84" s="162"/>
      <c r="AA84" s="162"/>
      <c r="AB84" s="127"/>
    </row>
    <row r="85" spans="1:37" ht="9" hidden="1" customHeight="1" x14ac:dyDescent="0.3">
      <c r="B85" s="95"/>
      <c r="C85" s="95"/>
      <c r="D85" s="95"/>
      <c r="E85" s="95"/>
      <c r="F85" s="95"/>
      <c r="G85" s="95"/>
      <c r="H85" s="95"/>
      <c r="I85" s="95"/>
      <c r="J85" s="95"/>
      <c r="K85" s="95"/>
      <c r="L85" s="95"/>
      <c r="M85" s="95"/>
      <c r="N85" s="95"/>
      <c r="O85" s="95"/>
      <c r="P85" s="95"/>
      <c r="Q85" s="95"/>
      <c r="R85" s="95"/>
      <c r="S85" s="95"/>
      <c r="T85" s="95"/>
      <c r="U85" s="95"/>
      <c r="V85" s="95"/>
      <c r="W85" s="95"/>
      <c r="X85" s="95"/>
      <c r="Y85" s="95"/>
      <c r="Z85" s="99"/>
      <c r="AA85" s="99"/>
      <c r="AB85" s="93"/>
    </row>
    <row r="86" spans="1:37" hidden="1" x14ac:dyDescent="0.3">
      <c r="AB86" s="93"/>
    </row>
    <row r="87" spans="1:37" ht="15" hidden="1" customHeight="1" x14ac:dyDescent="0.3">
      <c r="B87" s="154" t="str">
        <f>IF(W63=N65,"Datos de contacto para la facturación","Datos de contacto para la facturación del plan transaccional")</f>
        <v>Datos de contacto para la facturación</v>
      </c>
      <c r="C87" s="154"/>
      <c r="D87" s="154"/>
      <c r="E87" s="154"/>
      <c r="F87" s="154"/>
      <c r="G87" s="154"/>
      <c r="H87" s="154"/>
      <c r="I87" s="154"/>
      <c r="J87" s="154"/>
      <c r="K87" s="154"/>
      <c r="L87" s="154"/>
      <c r="M87" s="154"/>
      <c r="N87" s="154"/>
      <c r="O87" s="154"/>
      <c r="P87" s="154"/>
      <c r="Q87" s="154"/>
      <c r="R87" s="154"/>
      <c r="S87" s="154"/>
      <c r="T87" s="154"/>
      <c r="U87" s="154"/>
      <c r="V87" s="154"/>
      <c r="W87" s="154"/>
      <c r="X87" s="154"/>
      <c r="Y87" s="154"/>
      <c r="Z87" s="154"/>
      <c r="AA87" s="154"/>
      <c r="AB87" s="93"/>
    </row>
    <row r="88" spans="1:37" ht="14.25" hidden="1" customHeight="1" x14ac:dyDescent="0.3">
      <c r="A88" s="95"/>
      <c r="B88" s="161" t="s">
        <v>28</v>
      </c>
      <c r="C88" s="161"/>
      <c r="D88" s="161"/>
      <c r="E88" s="161"/>
      <c r="F88" s="161"/>
      <c r="G88" s="161"/>
      <c r="H88" s="161"/>
      <c r="I88" s="161"/>
      <c r="J88" s="161"/>
      <c r="K88" s="161"/>
      <c r="L88" s="161"/>
      <c r="M88" s="161"/>
      <c r="N88" s="161"/>
      <c r="O88" s="161"/>
      <c r="P88" s="161"/>
      <c r="Q88" s="161"/>
      <c r="R88" s="161"/>
      <c r="S88" s="161"/>
      <c r="T88" s="161"/>
      <c r="U88" s="161"/>
      <c r="V88" s="161"/>
      <c r="W88" s="161"/>
      <c r="X88" s="161"/>
      <c r="Y88" s="161"/>
      <c r="Z88" s="161"/>
      <c r="AA88" s="161"/>
      <c r="AB88" s="93"/>
    </row>
    <row r="89" spans="1:37" ht="6" hidden="1" customHeight="1" x14ac:dyDescent="0.3">
      <c r="A89" s="95"/>
      <c r="B89" s="117"/>
      <c r="C89" s="117"/>
      <c r="D89" s="117"/>
      <c r="E89" s="117"/>
      <c r="F89" s="117"/>
      <c r="G89" s="117"/>
      <c r="H89" s="117"/>
      <c r="I89" s="117"/>
      <c r="J89" s="117"/>
      <c r="K89" s="117"/>
      <c r="L89" s="117"/>
      <c r="M89" s="117"/>
      <c r="N89" s="117"/>
      <c r="O89" s="117"/>
      <c r="P89" s="117"/>
      <c r="Q89" s="117"/>
      <c r="R89" s="117"/>
      <c r="S89" s="117"/>
      <c r="T89" s="117"/>
      <c r="U89" s="117"/>
      <c r="V89" s="117"/>
      <c r="W89" s="117"/>
      <c r="X89" s="117"/>
      <c r="Y89" s="117"/>
      <c r="Z89" s="117"/>
      <c r="AA89" s="117"/>
      <c r="AC89" s="107"/>
      <c r="AD89" s="107"/>
      <c r="AE89" s="107"/>
    </row>
    <row r="90" spans="1:37" ht="15" hidden="1" customHeight="1" x14ac:dyDescent="0.3">
      <c r="A90" s="95"/>
      <c r="B90" s="157" t="s">
        <v>161</v>
      </c>
      <c r="C90" s="157"/>
      <c r="D90" s="157"/>
      <c r="E90" s="157"/>
      <c r="F90" s="157"/>
      <c r="G90" s="157"/>
      <c r="H90" s="157"/>
      <c r="I90" s="157"/>
      <c r="J90" s="157"/>
      <c r="K90" s="157"/>
      <c r="L90" s="162"/>
      <c r="M90" s="162"/>
      <c r="N90" s="162"/>
      <c r="O90" s="162"/>
      <c r="P90" s="162"/>
      <c r="Q90" s="162"/>
      <c r="R90" s="162"/>
      <c r="S90" s="162"/>
      <c r="T90" s="162"/>
      <c r="U90" s="162"/>
      <c r="V90" s="162"/>
      <c r="W90" s="162"/>
      <c r="X90" s="162"/>
      <c r="Y90" s="162"/>
      <c r="Z90" s="162"/>
      <c r="AA90" s="162"/>
      <c r="AB90" s="93"/>
      <c r="AC90" s="126"/>
    </row>
    <row r="91" spans="1:37" ht="6" hidden="1" customHeight="1" x14ac:dyDescent="0.3">
      <c r="A91" s="95"/>
      <c r="B91" s="95"/>
      <c r="C91" s="95"/>
      <c r="D91" s="95"/>
      <c r="E91" s="107"/>
      <c r="F91" s="107"/>
      <c r="G91" s="107"/>
      <c r="H91" s="107"/>
      <c r="I91" s="107"/>
      <c r="J91" s="107"/>
      <c r="K91" s="107"/>
      <c r="L91" s="107"/>
      <c r="M91" s="107"/>
      <c r="N91" s="107"/>
      <c r="O91" s="107"/>
      <c r="P91" s="107"/>
      <c r="Q91" s="95"/>
      <c r="R91" s="95"/>
      <c r="S91" s="95"/>
      <c r="T91" s="107"/>
      <c r="U91" s="107"/>
      <c r="V91" s="107"/>
      <c r="W91" s="107"/>
      <c r="X91" s="107"/>
      <c r="Y91" s="107"/>
      <c r="Z91" s="107"/>
      <c r="AA91" s="107"/>
      <c r="AB91" s="99"/>
      <c r="AC91" s="126"/>
    </row>
    <row r="92" spans="1:37" ht="15" hidden="1" customHeight="1" x14ac:dyDescent="0.3">
      <c r="A92" s="95"/>
      <c r="B92" s="157" t="s">
        <v>162</v>
      </c>
      <c r="C92" s="157"/>
      <c r="D92" s="157"/>
      <c r="E92" s="162"/>
      <c r="F92" s="162"/>
      <c r="G92" s="162"/>
      <c r="H92" s="162"/>
      <c r="I92" s="162"/>
      <c r="J92" s="162"/>
      <c r="K92" s="162"/>
      <c r="L92" s="162"/>
      <c r="M92" s="162"/>
      <c r="N92" s="162"/>
      <c r="O92" s="162"/>
      <c r="P92" s="162"/>
      <c r="Q92" s="95"/>
      <c r="R92" s="157" t="s">
        <v>163</v>
      </c>
      <c r="S92" s="157"/>
      <c r="T92" s="162"/>
      <c r="U92" s="162"/>
      <c r="V92" s="162"/>
      <c r="W92" s="162"/>
      <c r="X92" s="162"/>
      <c r="Y92" s="162"/>
      <c r="Z92" s="162"/>
      <c r="AA92" s="162"/>
      <c r="AB92" s="99"/>
      <c r="AC92" s="126"/>
    </row>
    <row r="93" spans="1:37" x14ac:dyDescent="0.3">
      <c r="A93" s="95"/>
      <c r="B93" s="95"/>
      <c r="C93" s="95"/>
      <c r="D93" s="95"/>
      <c r="E93" s="95"/>
      <c r="F93" s="95"/>
      <c r="G93" s="95"/>
      <c r="H93" s="95"/>
      <c r="I93" s="95"/>
      <c r="J93" s="95"/>
      <c r="K93" s="95"/>
      <c r="L93" s="95"/>
      <c r="M93" s="95"/>
      <c r="N93" s="95"/>
      <c r="O93" s="95"/>
      <c r="P93" s="95"/>
      <c r="Q93" s="95"/>
      <c r="R93" s="95"/>
      <c r="S93" s="95"/>
      <c r="T93" s="95"/>
      <c r="U93" s="95"/>
      <c r="V93" s="95"/>
      <c r="W93" s="95"/>
      <c r="X93" s="95"/>
      <c r="Y93" s="95"/>
      <c r="Z93" s="95"/>
      <c r="AB93" s="99"/>
      <c r="AC93" s="126"/>
    </row>
    <row r="94" spans="1:37" ht="14.4" x14ac:dyDescent="0.3">
      <c r="A94" s="357"/>
      <c r="B94" s="357"/>
      <c r="C94" s="357"/>
      <c r="D94" s="357"/>
      <c r="E94" s="357"/>
      <c r="F94" s="357"/>
      <c r="G94" s="357"/>
      <c r="H94" s="357"/>
      <c r="I94" s="357"/>
      <c r="J94" s="357"/>
      <c r="K94" s="357"/>
      <c r="L94" s="357"/>
      <c r="M94" s="357"/>
      <c r="N94" s="357"/>
      <c r="O94" s="357"/>
      <c r="P94" s="357"/>
      <c r="Q94" s="357"/>
      <c r="R94" s="357"/>
      <c r="S94" s="357"/>
      <c r="T94" s="357"/>
      <c r="U94" s="357"/>
      <c r="V94" s="357"/>
      <c r="W94" s="357"/>
      <c r="X94" s="357"/>
      <c r="Y94" s="357"/>
      <c r="Z94" s="357"/>
      <c r="AA94" s="357"/>
      <c r="AB94" s="357"/>
      <c r="AC94" s="357"/>
      <c r="AD94" s="357"/>
      <c r="AE94" s="358"/>
      <c r="AF94" s="357"/>
      <c r="AG94" s="357"/>
      <c r="AH94" s="357"/>
      <c r="AI94" s="357"/>
      <c r="AJ94" s="357"/>
      <c r="AK94" s="357"/>
    </row>
    <row r="95" spans="1:37" ht="14.4" thickBot="1" x14ac:dyDescent="0.35">
      <c r="A95" s="357"/>
      <c r="B95" s="357"/>
      <c r="C95" s="357"/>
      <c r="D95" s="357"/>
      <c r="E95" s="357"/>
      <c r="F95" s="357"/>
      <c r="G95" s="357"/>
      <c r="H95" s="357"/>
      <c r="I95" s="357"/>
      <c r="J95" s="357"/>
      <c r="K95" s="357"/>
      <c r="L95" s="357"/>
      <c r="M95" s="357"/>
      <c r="N95" s="357"/>
      <c r="O95" s="357"/>
      <c r="P95" s="357"/>
      <c r="Q95" s="357"/>
      <c r="R95" s="357"/>
      <c r="S95" s="357"/>
      <c r="T95" s="357"/>
      <c r="U95" s="357"/>
      <c r="V95" s="357"/>
      <c r="W95" s="357"/>
      <c r="X95" s="357"/>
      <c r="Y95" s="357"/>
      <c r="Z95" s="357"/>
      <c r="AA95" s="357"/>
      <c r="AB95" s="357"/>
      <c r="AC95" s="357"/>
      <c r="AD95" s="357"/>
      <c r="AE95" s="357"/>
      <c r="AF95" s="357"/>
      <c r="AG95" s="357"/>
      <c r="AH95" s="357"/>
      <c r="AI95" s="357"/>
      <c r="AJ95" s="357"/>
      <c r="AK95" s="357"/>
    </row>
    <row r="96" spans="1:37" ht="14.4" thickBot="1" x14ac:dyDescent="0.35">
      <c r="A96" s="357"/>
      <c r="B96" s="315" t="s">
        <v>48</v>
      </c>
      <c r="C96" s="316"/>
      <c r="D96" s="316"/>
      <c r="E96" s="316"/>
      <c r="F96" s="316"/>
      <c r="G96" s="316"/>
      <c r="H96" s="316"/>
      <c r="I96" s="316"/>
      <c r="J96" s="316"/>
      <c r="K96" s="316"/>
      <c r="L96" s="316"/>
      <c r="M96" s="316"/>
      <c r="N96" s="316"/>
      <c r="O96" s="316"/>
      <c r="P96" s="316"/>
      <c r="Q96" s="316"/>
      <c r="R96" s="316"/>
      <c r="S96" s="316"/>
      <c r="T96" s="316"/>
      <c r="U96" s="316"/>
      <c r="V96" s="316"/>
      <c r="W96" s="316"/>
      <c r="X96" s="316"/>
      <c r="Y96" s="316"/>
      <c r="Z96" s="316"/>
      <c r="AA96" s="316"/>
      <c r="AB96" s="316"/>
      <c r="AC96" s="317"/>
      <c r="AD96" s="357"/>
      <c r="AE96" s="357"/>
      <c r="AF96" s="357"/>
      <c r="AG96" s="357"/>
      <c r="AH96" s="357"/>
      <c r="AI96" s="357"/>
      <c r="AJ96" s="357"/>
      <c r="AK96" s="357"/>
    </row>
    <row r="97" spans="1:37" x14ac:dyDescent="0.3">
      <c r="A97" s="357"/>
      <c r="B97" s="359"/>
      <c r="C97" s="360"/>
      <c r="D97" s="360"/>
      <c r="E97" s="360"/>
      <c r="F97" s="360"/>
      <c r="G97" s="360"/>
      <c r="H97" s="360"/>
      <c r="I97" s="360"/>
      <c r="J97" s="360"/>
      <c r="K97" s="360"/>
      <c r="L97" s="360"/>
      <c r="M97" s="360"/>
      <c r="N97" s="360"/>
      <c r="O97" s="360"/>
      <c r="P97" s="360"/>
      <c r="Q97" s="360"/>
      <c r="R97" s="360"/>
      <c r="S97" s="360"/>
      <c r="T97" s="360"/>
      <c r="U97" s="360"/>
      <c r="V97" s="360"/>
      <c r="W97" s="360"/>
      <c r="X97" s="360"/>
      <c r="Y97" s="360"/>
      <c r="Z97" s="360"/>
      <c r="AA97" s="360"/>
      <c r="AB97" s="360"/>
      <c r="AC97" s="361"/>
      <c r="AD97" s="357"/>
      <c r="AE97" s="357"/>
      <c r="AF97" s="357"/>
      <c r="AG97" s="357"/>
      <c r="AH97" s="357"/>
      <c r="AI97" s="357"/>
      <c r="AJ97" s="357"/>
      <c r="AK97" s="357"/>
    </row>
    <row r="98" spans="1:37" x14ac:dyDescent="0.3">
      <c r="B98" s="362"/>
      <c r="C98" s="363"/>
      <c r="D98" s="363"/>
      <c r="E98" s="363"/>
      <c r="F98" s="363"/>
      <c r="G98" s="363"/>
      <c r="H98" s="363"/>
      <c r="I98" s="363"/>
      <c r="J98" s="363"/>
      <c r="K98" s="363"/>
      <c r="L98" s="363"/>
      <c r="M98" s="363"/>
      <c r="N98" s="363"/>
      <c r="O98" s="363"/>
      <c r="P98" s="363"/>
      <c r="Q98" s="363"/>
      <c r="R98" s="363"/>
      <c r="S98" s="363"/>
      <c r="T98" s="363"/>
      <c r="U98" s="363"/>
      <c r="V98" s="363"/>
      <c r="W98" s="363"/>
      <c r="X98" s="363"/>
      <c r="Y98" s="363"/>
      <c r="Z98" s="363"/>
      <c r="AA98" s="363"/>
      <c r="AB98" s="363"/>
      <c r="AC98" s="364"/>
    </row>
    <row r="99" spans="1:37" x14ac:dyDescent="0.3">
      <c r="B99" s="362"/>
      <c r="C99" s="363"/>
      <c r="D99" s="363"/>
      <c r="E99" s="363"/>
      <c r="F99" s="363"/>
      <c r="G99" s="363"/>
      <c r="H99" s="363"/>
      <c r="I99" s="363"/>
      <c r="J99" s="363"/>
      <c r="K99" s="363"/>
      <c r="L99" s="363"/>
      <c r="M99" s="363"/>
      <c r="N99" s="363"/>
      <c r="O99" s="363"/>
      <c r="P99" s="363"/>
      <c r="Q99" s="363"/>
      <c r="R99" s="363"/>
      <c r="S99" s="363"/>
      <c r="T99" s="363"/>
      <c r="U99" s="363"/>
      <c r="V99" s="363"/>
      <c r="W99" s="363"/>
      <c r="X99" s="363"/>
      <c r="Y99" s="363"/>
      <c r="Z99" s="363"/>
      <c r="AA99" s="363"/>
      <c r="AB99" s="363"/>
      <c r="AC99" s="364"/>
    </row>
    <row r="100" spans="1:37" x14ac:dyDescent="0.3">
      <c r="B100" s="362"/>
      <c r="C100" s="363"/>
      <c r="D100" s="363"/>
      <c r="E100" s="363"/>
      <c r="F100" s="363"/>
      <c r="G100" s="363"/>
      <c r="H100" s="363"/>
      <c r="I100" s="363"/>
      <c r="J100" s="363"/>
      <c r="K100" s="363"/>
      <c r="L100" s="363"/>
      <c r="M100" s="363"/>
      <c r="N100" s="363"/>
      <c r="O100" s="363"/>
      <c r="P100" s="363"/>
      <c r="Q100" s="363"/>
      <c r="R100" s="363"/>
      <c r="S100" s="363"/>
      <c r="T100" s="363"/>
      <c r="U100" s="363"/>
      <c r="V100" s="363"/>
      <c r="W100" s="363"/>
      <c r="X100" s="363"/>
      <c r="Y100" s="363"/>
      <c r="Z100" s="363"/>
      <c r="AA100" s="363"/>
      <c r="AB100" s="363"/>
      <c r="AC100" s="364"/>
    </row>
    <row r="101" spans="1:37" x14ac:dyDescent="0.3">
      <c r="B101" s="362"/>
      <c r="C101" s="363"/>
      <c r="D101" s="363"/>
      <c r="E101" s="363"/>
      <c r="F101" s="363"/>
      <c r="G101" s="363"/>
      <c r="H101" s="363"/>
      <c r="I101" s="363"/>
      <c r="J101" s="363"/>
      <c r="K101" s="363"/>
      <c r="L101" s="363"/>
      <c r="M101" s="363"/>
      <c r="N101" s="363"/>
      <c r="O101" s="363"/>
      <c r="P101" s="363"/>
      <c r="Q101" s="363"/>
      <c r="R101" s="363"/>
      <c r="S101" s="363"/>
      <c r="T101" s="363"/>
      <c r="U101" s="363"/>
      <c r="V101" s="363"/>
      <c r="W101" s="363"/>
      <c r="X101" s="363"/>
      <c r="Y101" s="363"/>
      <c r="Z101" s="363"/>
      <c r="AA101" s="363"/>
      <c r="AB101" s="363"/>
      <c r="AC101" s="364"/>
    </row>
    <row r="102" spans="1:37" x14ac:dyDescent="0.3">
      <c r="B102" s="362"/>
      <c r="C102" s="363"/>
      <c r="D102" s="363"/>
      <c r="E102" s="363"/>
      <c r="F102" s="363"/>
      <c r="G102" s="363"/>
      <c r="H102" s="363"/>
      <c r="I102" s="363"/>
      <c r="J102" s="363"/>
      <c r="K102" s="363"/>
      <c r="L102" s="363"/>
      <c r="M102" s="363"/>
      <c r="N102" s="363"/>
      <c r="O102" s="363"/>
      <c r="P102" s="363"/>
      <c r="Q102" s="363"/>
      <c r="R102" s="363"/>
      <c r="S102" s="363"/>
      <c r="T102" s="363"/>
      <c r="U102" s="363"/>
      <c r="V102" s="363"/>
      <c r="W102" s="363"/>
      <c r="X102" s="363"/>
      <c r="Y102" s="363"/>
      <c r="Z102" s="363"/>
      <c r="AA102" s="363"/>
      <c r="AB102" s="363"/>
      <c r="AC102" s="364"/>
    </row>
    <row r="103" spans="1:37" x14ac:dyDescent="0.3">
      <c r="B103" s="362"/>
      <c r="C103" s="363"/>
      <c r="D103" s="363"/>
      <c r="E103" s="363"/>
      <c r="F103" s="363"/>
      <c r="G103" s="363"/>
      <c r="H103" s="363"/>
      <c r="I103" s="363"/>
      <c r="J103" s="363"/>
      <c r="K103" s="363"/>
      <c r="L103" s="363"/>
      <c r="M103" s="363"/>
      <c r="N103" s="363"/>
      <c r="O103" s="363"/>
      <c r="P103" s="363"/>
      <c r="Q103" s="363"/>
      <c r="R103" s="363"/>
      <c r="S103" s="363"/>
      <c r="T103" s="363"/>
      <c r="U103" s="363"/>
      <c r="V103" s="363"/>
      <c r="W103" s="363"/>
      <c r="X103" s="363"/>
      <c r="Y103" s="363"/>
      <c r="Z103" s="363"/>
      <c r="AA103" s="363"/>
      <c r="AB103" s="363"/>
      <c r="AC103" s="364"/>
    </row>
    <row r="104" spans="1:37" ht="14.4" thickBot="1" x14ac:dyDescent="0.35">
      <c r="B104" s="365"/>
      <c r="C104" s="366"/>
      <c r="D104" s="366"/>
      <c r="E104" s="366"/>
      <c r="F104" s="366"/>
      <c r="G104" s="366"/>
      <c r="H104" s="366"/>
      <c r="I104" s="366"/>
      <c r="J104" s="366"/>
      <c r="K104" s="366"/>
      <c r="L104" s="366"/>
      <c r="M104" s="366"/>
      <c r="N104" s="366"/>
      <c r="O104" s="366"/>
      <c r="P104" s="366"/>
      <c r="Q104" s="366"/>
      <c r="R104" s="366"/>
      <c r="S104" s="366"/>
      <c r="T104" s="366"/>
      <c r="U104" s="366"/>
      <c r="V104" s="366"/>
      <c r="W104" s="366"/>
      <c r="X104" s="366"/>
      <c r="Y104" s="366"/>
      <c r="Z104" s="366"/>
      <c r="AA104" s="366"/>
      <c r="AB104" s="366"/>
      <c r="AC104" s="367"/>
    </row>
    <row r="105" spans="1:37" x14ac:dyDescent="0.3">
      <c r="B105" s="95"/>
      <c r="C105" s="95"/>
      <c r="D105" s="95"/>
      <c r="E105" s="95"/>
      <c r="F105" s="95"/>
      <c r="G105" s="95"/>
      <c r="H105" s="95"/>
      <c r="I105" s="95"/>
      <c r="J105" s="95"/>
      <c r="K105" s="95"/>
      <c r="L105" s="95"/>
      <c r="M105" s="95"/>
      <c r="N105" s="95"/>
      <c r="O105" s="95"/>
      <c r="P105" s="95"/>
      <c r="Q105" s="95"/>
      <c r="R105" s="95"/>
      <c r="S105" s="95"/>
      <c r="T105" s="95"/>
      <c r="U105" s="95"/>
      <c r="V105" s="95"/>
      <c r="W105" s="95"/>
      <c r="X105" s="95"/>
      <c r="Y105" s="95"/>
      <c r="Z105" s="95"/>
      <c r="AC105" s="95"/>
    </row>
    <row r="106" spans="1:37" x14ac:dyDescent="0.3">
      <c r="B106" s="95"/>
      <c r="C106" s="95"/>
      <c r="D106" s="95"/>
      <c r="E106" s="95"/>
      <c r="F106" s="95"/>
      <c r="G106" s="95"/>
      <c r="H106" s="95"/>
      <c r="I106" s="95"/>
      <c r="J106" s="95"/>
      <c r="K106" s="95"/>
      <c r="L106" s="95"/>
      <c r="M106" s="95"/>
      <c r="N106" s="95"/>
      <c r="O106" s="95"/>
      <c r="P106" s="95"/>
      <c r="Q106" s="95"/>
      <c r="R106" s="95"/>
      <c r="S106" s="95"/>
      <c r="T106" s="95"/>
      <c r="U106" s="95"/>
      <c r="V106" s="95"/>
      <c r="W106" s="95"/>
      <c r="X106" s="95"/>
      <c r="Y106" s="95"/>
      <c r="Z106" s="95"/>
      <c r="AC106" s="95"/>
    </row>
    <row r="107" spans="1:37" x14ac:dyDescent="0.3">
      <c r="B107" s="95"/>
      <c r="C107" s="95"/>
      <c r="D107" s="95"/>
      <c r="E107" s="95"/>
      <c r="F107" s="95"/>
      <c r="G107" s="95"/>
      <c r="H107" s="95"/>
      <c r="I107" s="95"/>
      <c r="J107" s="95"/>
      <c r="K107" s="95"/>
      <c r="L107" s="95"/>
      <c r="M107" s="95"/>
      <c r="N107" s="95"/>
      <c r="O107" s="95"/>
      <c r="P107" s="95"/>
      <c r="Q107" s="95"/>
      <c r="R107" s="95"/>
      <c r="S107" s="95"/>
      <c r="T107" s="95"/>
      <c r="U107" s="95"/>
      <c r="V107" s="95"/>
      <c r="W107" s="95"/>
      <c r="X107" s="95"/>
      <c r="Y107" s="95"/>
      <c r="Z107" s="95"/>
      <c r="AC107" s="95"/>
    </row>
    <row r="108" spans="1:37" x14ac:dyDescent="0.3">
      <c r="B108" s="95"/>
      <c r="C108" s="95"/>
      <c r="D108" s="95"/>
      <c r="E108" s="95"/>
      <c r="F108" s="95"/>
      <c r="G108" s="95"/>
      <c r="H108" s="95"/>
      <c r="I108" s="95"/>
      <c r="J108" s="95"/>
      <c r="K108" s="95"/>
      <c r="L108" s="95"/>
      <c r="M108" s="95"/>
      <c r="N108" s="95"/>
      <c r="O108" s="95"/>
      <c r="P108" s="95"/>
      <c r="Q108" s="95"/>
      <c r="R108" s="95"/>
      <c r="S108" s="95"/>
      <c r="T108" s="95"/>
      <c r="U108" s="95"/>
      <c r="V108" s="95"/>
      <c r="W108" s="95"/>
      <c r="X108" s="95"/>
      <c r="Y108" s="95"/>
      <c r="Z108" s="95"/>
      <c r="AC108" s="95"/>
    </row>
    <row r="109" spans="1:37" x14ac:dyDescent="0.3">
      <c r="B109" s="95"/>
      <c r="C109" s="95"/>
      <c r="D109" s="95"/>
      <c r="E109" s="95"/>
      <c r="F109" s="95"/>
      <c r="G109" s="95"/>
      <c r="H109" s="95"/>
      <c r="I109" s="95"/>
      <c r="J109" s="95"/>
      <c r="K109" s="95"/>
      <c r="L109" s="95"/>
      <c r="M109" s="95"/>
      <c r="N109" s="95"/>
      <c r="O109" s="95"/>
      <c r="P109" s="95"/>
      <c r="Q109" s="95"/>
      <c r="R109" s="95"/>
      <c r="S109" s="95"/>
      <c r="T109" s="95"/>
      <c r="U109" s="95"/>
      <c r="V109" s="95"/>
      <c r="W109" s="95"/>
      <c r="X109" s="95"/>
      <c r="Y109" s="95"/>
      <c r="Z109" s="95"/>
      <c r="AC109" s="95"/>
    </row>
    <row r="110" spans="1:37" x14ac:dyDescent="0.3">
      <c r="B110" s="95"/>
      <c r="C110" s="95"/>
      <c r="D110" s="95"/>
      <c r="E110" s="95"/>
      <c r="F110" s="95"/>
      <c r="G110" s="95"/>
      <c r="H110" s="95"/>
      <c r="I110" s="95"/>
      <c r="J110" s="95"/>
      <c r="K110" s="95"/>
      <c r="L110" s="95"/>
      <c r="M110" s="95"/>
      <c r="N110" s="95"/>
      <c r="O110" s="95"/>
      <c r="P110" s="95"/>
      <c r="Q110" s="95"/>
      <c r="R110" s="95"/>
      <c r="S110" s="95"/>
      <c r="T110" s="95"/>
      <c r="U110" s="95"/>
      <c r="V110" s="95"/>
      <c r="W110" s="95"/>
      <c r="X110" s="95"/>
      <c r="Y110" s="95"/>
      <c r="Z110" s="95"/>
      <c r="AC110" s="95"/>
    </row>
  </sheetData>
  <sheetProtection sheet="1" objects="1" scenarios="1"/>
  <dataConsolidate/>
  <customSheetViews>
    <customSheetView guid="{81F0E444-1FDF-4C2C-B330-A1D7F689AA54}" showGridLines="0" showRowCol="0" fitToPage="1">
      <selection activeCell="AE1" sqref="AE1"/>
      <pageMargins left="0.70866141732283472" right="0.70866141732283472" top="0.74803149606299213" bottom="0.74803149606299213" header="0.31496062992125984" footer="0.31496062992125984"/>
      <printOptions horizontalCentered="1"/>
      <pageSetup scale="55" orientation="portrait" r:id="rId1"/>
    </customSheetView>
  </customSheetViews>
  <mergeCells count="196">
    <mergeCell ref="B15:AC17"/>
    <mergeCell ref="I59:O59"/>
    <mergeCell ref="S59:U59"/>
    <mergeCell ref="X59:Z59"/>
    <mergeCell ref="AB59:AD59"/>
    <mergeCell ref="B80:K80"/>
    <mergeCell ref="L80:AA80"/>
    <mergeCell ref="B82:D82"/>
    <mergeCell ref="B92:D92"/>
    <mergeCell ref="E92:P92"/>
    <mergeCell ref="E82:P82"/>
    <mergeCell ref="R82:S82"/>
    <mergeCell ref="T82:AA82"/>
    <mergeCell ref="B88:AA88"/>
    <mergeCell ref="I56:O56"/>
    <mergeCell ref="S56:U56"/>
    <mergeCell ref="X56:Z56"/>
    <mergeCell ref="AB56:AD56"/>
    <mergeCell ref="AB50:AD50"/>
    <mergeCell ref="B37:C37"/>
    <mergeCell ref="AB37:AD37"/>
    <mergeCell ref="I48:O48"/>
    <mergeCell ref="S48:U48"/>
    <mergeCell ref="X48:Z48"/>
    <mergeCell ref="AF58:AL58"/>
    <mergeCell ref="I58:O58"/>
    <mergeCell ref="S58:U58"/>
    <mergeCell ref="X58:Z58"/>
    <mergeCell ref="AB58:AD58"/>
    <mergeCell ref="AF59:AL59"/>
    <mergeCell ref="B61:AA61"/>
    <mergeCell ref="N65:Q65"/>
    <mergeCell ref="R92:S92"/>
    <mergeCell ref="T92:AA92"/>
    <mergeCell ref="M73:AA73"/>
    <mergeCell ref="AC63:AG63"/>
    <mergeCell ref="S65:W65"/>
    <mergeCell ref="B77:AA77"/>
    <mergeCell ref="B87:AA87"/>
    <mergeCell ref="B90:K90"/>
    <mergeCell ref="L90:AA90"/>
    <mergeCell ref="J67:K67"/>
    <mergeCell ref="L67:O67"/>
    <mergeCell ref="B75:AA75"/>
    <mergeCell ref="B78:AA78"/>
    <mergeCell ref="P71:R71"/>
    <mergeCell ref="B69:J69"/>
    <mergeCell ref="K69:AA69"/>
    <mergeCell ref="I45:O45"/>
    <mergeCell ref="S45:U45"/>
    <mergeCell ref="AB47:AD47"/>
    <mergeCell ref="AB48:AD48"/>
    <mergeCell ref="AF56:AL56"/>
    <mergeCell ref="I57:O57"/>
    <mergeCell ref="S57:U57"/>
    <mergeCell ref="X57:Z57"/>
    <mergeCell ref="AB57:AD57"/>
    <mergeCell ref="AF57:AL57"/>
    <mergeCell ref="I54:O54"/>
    <mergeCell ref="S54:U54"/>
    <mergeCell ref="X54:Z54"/>
    <mergeCell ref="AB54:AD54"/>
    <mergeCell ref="AF54:AL54"/>
    <mergeCell ref="I55:O55"/>
    <mergeCell ref="S55:U55"/>
    <mergeCell ref="X55:Z55"/>
    <mergeCell ref="AB55:AD55"/>
    <mergeCell ref="AF55:AL55"/>
    <mergeCell ref="AF50:AL50"/>
    <mergeCell ref="I51:O51"/>
    <mergeCell ref="S51:U51"/>
    <mergeCell ref="X51:Z51"/>
    <mergeCell ref="AB51:AD51"/>
    <mergeCell ref="AF51:AL51"/>
    <mergeCell ref="AF52:AL52"/>
    <mergeCell ref="I53:O53"/>
    <mergeCell ref="S53:U53"/>
    <mergeCell ref="X53:Z53"/>
    <mergeCell ref="AB53:AD53"/>
    <mergeCell ref="AF53:AL53"/>
    <mergeCell ref="AB52:AD52"/>
    <mergeCell ref="S52:U52"/>
    <mergeCell ref="X52:Z52"/>
    <mergeCell ref="S50:U50"/>
    <mergeCell ref="X50:Z50"/>
    <mergeCell ref="I52:O52"/>
    <mergeCell ref="AL29:AN29"/>
    <mergeCell ref="T30:AA30"/>
    <mergeCell ref="AL30:AN30"/>
    <mergeCell ref="X40:Z40"/>
    <mergeCell ref="I37:O37"/>
    <mergeCell ref="AF37:AL37"/>
    <mergeCell ref="R37:V37"/>
    <mergeCell ref="X37:Z37"/>
    <mergeCell ref="AF39:AL39"/>
    <mergeCell ref="I38:O38"/>
    <mergeCell ref="S38:U38"/>
    <mergeCell ref="X38:Z38"/>
    <mergeCell ref="AB38:AD38"/>
    <mergeCell ref="AF38:AL38"/>
    <mergeCell ref="I40:O40"/>
    <mergeCell ref="AF40:AL40"/>
    <mergeCell ref="B34:AC34"/>
    <mergeCell ref="B33:AC33"/>
    <mergeCell ref="S39:U39"/>
    <mergeCell ref="X39:Z39"/>
    <mergeCell ref="S40:U40"/>
    <mergeCell ref="AF48:AL48"/>
    <mergeCell ref="X42:Z42"/>
    <mergeCell ref="AF42:AL42"/>
    <mergeCell ref="X45:Z45"/>
    <mergeCell ref="AB45:AD45"/>
    <mergeCell ref="AF45:AL45"/>
    <mergeCell ref="X44:Z44"/>
    <mergeCell ref="S43:U43"/>
    <mergeCell ref="X43:Z43"/>
    <mergeCell ref="AF43:AL43"/>
    <mergeCell ref="AB42:AD42"/>
    <mergeCell ref="S44:U44"/>
    <mergeCell ref="AF47:AL47"/>
    <mergeCell ref="AB46:AD46"/>
    <mergeCell ref="AB44:AD44"/>
    <mergeCell ref="S42:U42"/>
    <mergeCell ref="AF44:AL44"/>
    <mergeCell ref="AF41:AL41"/>
    <mergeCell ref="X41:Z41"/>
    <mergeCell ref="AB41:AD41"/>
    <mergeCell ref="I42:O42"/>
    <mergeCell ref="AF49:AL49"/>
    <mergeCell ref="I50:O50"/>
    <mergeCell ref="B84:D84"/>
    <mergeCell ref="E84:H84"/>
    <mergeCell ref="J84:Q84"/>
    <mergeCell ref="R84:AA84"/>
    <mergeCell ref="B65:F65"/>
    <mergeCell ref="I43:O43"/>
    <mergeCell ref="B71:O71"/>
    <mergeCell ref="I41:O41"/>
    <mergeCell ref="B67:H67"/>
    <mergeCell ref="S41:U41"/>
    <mergeCell ref="I46:O46"/>
    <mergeCell ref="S46:U46"/>
    <mergeCell ref="X46:Z46"/>
    <mergeCell ref="I49:O49"/>
    <mergeCell ref="S49:U49"/>
    <mergeCell ref="X49:Z49"/>
    <mergeCell ref="AF46:AL46"/>
    <mergeCell ref="I44:O44"/>
    <mergeCell ref="B12:AC12"/>
    <mergeCell ref="B13:AC13"/>
    <mergeCell ref="AB49:AD49"/>
    <mergeCell ref="J65:M65"/>
    <mergeCell ref="O21:T21"/>
    <mergeCell ref="V21:AC21"/>
    <mergeCell ref="Q67:R67"/>
    <mergeCell ref="S67:V67"/>
    <mergeCell ref="B35:AC35"/>
    <mergeCell ref="I39:O39"/>
    <mergeCell ref="K27:P27"/>
    <mergeCell ref="V27:AB27"/>
    <mergeCell ref="K29:P29"/>
    <mergeCell ref="T29:AA29"/>
    <mergeCell ref="AB43:AD43"/>
    <mergeCell ref="I47:O47"/>
    <mergeCell ref="S47:U47"/>
    <mergeCell ref="X47:Z47"/>
    <mergeCell ref="B23:AC23"/>
    <mergeCell ref="B24:AC24"/>
    <mergeCell ref="B25:AC25"/>
    <mergeCell ref="B32:AE32"/>
    <mergeCell ref="AB39:AD39"/>
    <mergeCell ref="AB40:AD40"/>
    <mergeCell ref="B9:J9"/>
    <mergeCell ref="K9:AA9"/>
    <mergeCell ref="B96:AC96"/>
    <mergeCell ref="B97:AC104"/>
    <mergeCell ref="G6:AA6"/>
    <mergeCell ref="B1:AA1"/>
    <mergeCell ref="B62:AA62"/>
    <mergeCell ref="B63:I63"/>
    <mergeCell ref="J63:O63"/>
    <mergeCell ref="S63:V63"/>
    <mergeCell ref="W63:AA63"/>
    <mergeCell ref="B2:AA2"/>
    <mergeCell ref="B4:AC4"/>
    <mergeCell ref="B6:E6"/>
    <mergeCell ref="B18:H18"/>
    <mergeCell ref="J18:P18"/>
    <mergeCell ref="B20:AC20"/>
    <mergeCell ref="B21:N21"/>
    <mergeCell ref="B7:C7"/>
    <mergeCell ref="D7:I7"/>
    <mergeCell ref="K7:R7"/>
    <mergeCell ref="S7:AA7"/>
    <mergeCell ref="B10:J10"/>
    <mergeCell ref="K10:AA10"/>
  </mergeCells>
  <conditionalFormatting sqref="S29">
    <cfRule type="expression" dxfId="118" priority="100" stopIfTrue="1">
      <formula>$K$29="Seleccione"</formula>
    </cfRule>
  </conditionalFormatting>
  <conditionalFormatting sqref="B22:AA22">
    <cfRule type="expression" dxfId="117" priority="101">
      <formula>#REF!="Si"</formula>
    </cfRule>
  </conditionalFormatting>
  <conditionalFormatting sqref="X39:AL39">
    <cfRule type="expression" dxfId="116" priority="96" stopIfTrue="1">
      <formula>$S$39="Seleccione"</formula>
    </cfRule>
  </conditionalFormatting>
  <conditionalFormatting sqref="AF39:AL39">
    <cfRule type="expression" dxfId="115" priority="94" stopIfTrue="1">
      <formula>$AB$39="Seleccione"</formula>
    </cfRule>
    <cfRule type="expression" dxfId="114" priority="95" stopIfTrue="1">
      <formula>$AB$39="NO"</formula>
    </cfRule>
  </conditionalFormatting>
  <conditionalFormatting sqref="AF40:AL40">
    <cfRule type="expression" dxfId="113" priority="92" stopIfTrue="1">
      <formula>$AB$40="Seleccione"</formula>
    </cfRule>
    <cfRule type="expression" dxfId="112" priority="93" stopIfTrue="1">
      <formula>$AB$40="NO"</formula>
    </cfRule>
  </conditionalFormatting>
  <conditionalFormatting sqref="AB39:AL39">
    <cfRule type="expression" dxfId="111" priority="91" stopIfTrue="1">
      <formula>$S$39="Oculto"</formula>
    </cfRule>
  </conditionalFormatting>
  <conditionalFormatting sqref="X41:AL41">
    <cfRule type="expression" dxfId="110" priority="90" stopIfTrue="1">
      <formula>$S$41="Seleccione"</formula>
    </cfRule>
  </conditionalFormatting>
  <conditionalFormatting sqref="AF41:AL41">
    <cfRule type="expression" dxfId="109" priority="88" stopIfTrue="1">
      <formula>$AB$41="Seleccione"</formula>
    </cfRule>
    <cfRule type="expression" dxfId="108" priority="89" stopIfTrue="1">
      <formula>$AB$41="NO"</formula>
    </cfRule>
  </conditionalFormatting>
  <conditionalFormatting sqref="AB41:AL41">
    <cfRule type="expression" dxfId="107" priority="87" stopIfTrue="1">
      <formula>$S$41="Oculto"</formula>
    </cfRule>
  </conditionalFormatting>
  <conditionalFormatting sqref="X43:AL43">
    <cfRule type="expression" dxfId="106" priority="86" stopIfTrue="1">
      <formula>$S$43="Seleccione"</formula>
    </cfRule>
  </conditionalFormatting>
  <conditionalFormatting sqref="AF43:AL43">
    <cfRule type="expression" dxfId="105" priority="84" stopIfTrue="1">
      <formula>$AB$43="Seleccione"</formula>
    </cfRule>
    <cfRule type="expression" dxfId="104" priority="85" stopIfTrue="1">
      <formula>$AB$43="NO"</formula>
    </cfRule>
  </conditionalFormatting>
  <conditionalFormatting sqref="AB43:AL43">
    <cfRule type="expression" dxfId="103" priority="83" stopIfTrue="1">
      <formula>$S$43="Oculto"</formula>
    </cfRule>
  </conditionalFormatting>
  <conditionalFormatting sqref="X44:AL44">
    <cfRule type="expression" dxfId="102" priority="82" stopIfTrue="1">
      <formula>$S$44="Seleccione"</formula>
    </cfRule>
  </conditionalFormatting>
  <conditionalFormatting sqref="AF44:AL44">
    <cfRule type="expression" dxfId="101" priority="80" stopIfTrue="1">
      <formula>$AB$44="Seleccione"</formula>
    </cfRule>
    <cfRule type="expression" dxfId="100" priority="81" stopIfTrue="1">
      <formula>$AB$44="NO"</formula>
    </cfRule>
  </conditionalFormatting>
  <conditionalFormatting sqref="AB44:AL44">
    <cfRule type="expression" dxfId="99" priority="79" stopIfTrue="1">
      <formula>$S$44="Oculto"</formula>
    </cfRule>
  </conditionalFormatting>
  <conditionalFormatting sqref="X45:AL45">
    <cfRule type="expression" dxfId="98" priority="78" stopIfTrue="1">
      <formula>$S$45="Seleccione"</formula>
    </cfRule>
  </conditionalFormatting>
  <conditionalFormatting sqref="AF45:AL45">
    <cfRule type="expression" dxfId="97" priority="76" stopIfTrue="1">
      <formula>$AB$45="Seleccione"</formula>
    </cfRule>
    <cfRule type="expression" dxfId="96" priority="77" stopIfTrue="1">
      <formula>$AB$45="NO"</formula>
    </cfRule>
  </conditionalFormatting>
  <conditionalFormatting sqref="AB45:AL45">
    <cfRule type="expression" dxfId="95" priority="75" stopIfTrue="1">
      <formula>$S$45="Oculto"</formula>
    </cfRule>
  </conditionalFormatting>
  <conditionalFormatting sqref="X46:AL46">
    <cfRule type="expression" dxfId="94" priority="74" stopIfTrue="1">
      <formula>$S$46="Seleccione"</formula>
    </cfRule>
  </conditionalFormatting>
  <conditionalFormatting sqref="AF46:AL46">
    <cfRule type="expression" dxfId="93" priority="72" stopIfTrue="1">
      <formula>$AB$46="Seleccione"</formula>
    </cfRule>
    <cfRule type="expression" dxfId="92" priority="73" stopIfTrue="1">
      <formula>$AB$46="NO"</formula>
    </cfRule>
  </conditionalFormatting>
  <conditionalFormatting sqref="AB46:AL46">
    <cfRule type="expression" dxfId="91" priority="71" stopIfTrue="1">
      <formula>$S$46="Oculto"</formula>
    </cfRule>
  </conditionalFormatting>
  <conditionalFormatting sqref="X47:AL47">
    <cfRule type="expression" dxfId="90" priority="70" stopIfTrue="1">
      <formula>$S$47="Seleccione"</formula>
    </cfRule>
  </conditionalFormatting>
  <conditionalFormatting sqref="AF47:AL47">
    <cfRule type="expression" dxfId="89" priority="68" stopIfTrue="1">
      <formula>$AB$47="Seleccione"</formula>
    </cfRule>
    <cfRule type="expression" dxfId="88" priority="69" stopIfTrue="1">
      <formula>$AB$47="NO"</formula>
    </cfRule>
  </conditionalFormatting>
  <conditionalFormatting sqref="AB47:AL47">
    <cfRule type="expression" dxfId="87" priority="67" stopIfTrue="1">
      <formula>$S$47="Oculto"</formula>
    </cfRule>
  </conditionalFormatting>
  <conditionalFormatting sqref="X48:AL48">
    <cfRule type="expression" dxfId="86" priority="66" stopIfTrue="1">
      <formula>$S$48="Seleccione"</formula>
    </cfRule>
  </conditionalFormatting>
  <conditionalFormatting sqref="AF48:AL48">
    <cfRule type="expression" dxfId="85" priority="64" stopIfTrue="1">
      <formula>$AB$48="Seleccione"</formula>
    </cfRule>
    <cfRule type="expression" dxfId="84" priority="65" stopIfTrue="1">
      <formula>$AB$48="NO"</formula>
    </cfRule>
  </conditionalFormatting>
  <conditionalFormatting sqref="AB48:AL48">
    <cfRule type="expression" dxfId="83" priority="63" stopIfTrue="1">
      <formula>$S$48="Oculto"</formula>
    </cfRule>
  </conditionalFormatting>
  <conditionalFormatting sqref="X49:AL49">
    <cfRule type="expression" dxfId="82" priority="58" stopIfTrue="1">
      <formula>$S$49="No"</formula>
    </cfRule>
    <cfRule type="expression" dxfId="81" priority="62" stopIfTrue="1">
      <formula>$S$49="Seleccione"</formula>
    </cfRule>
  </conditionalFormatting>
  <conditionalFormatting sqref="AF49:AL49">
    <cfRule type="expression" dxfId="80" priority="60" stopIfTrue="1">
      <formula>$AB$49="Seleccione"</formula>
    </cfRule>
    <cfRule type="expression" dxfId="79" priority="61" stopIfTrue="1">
      <formula>$AB$49="NO"</formula>
    </cfRule>
  </conditionalFormatting>
  <conditionalFormatting sqref="AB49:AL49">
    <cfRule type="expression" dxfId="78" priority="59" stopIfTrue="1">
      <formula>$S$49="Oculto"</formula>
    </cfRule>
  </conditionalFormatting>
  <conditionalFormatting sqref="X50:AL50">
    <cfRule type="expression" dxfId="77" priority="53" stopIfTrue="1">
      <formula>$S$50="No"</formula>
    </cfRule>
    <cfRule type="expression" dxfId="76" priority="57" stopIfTrue="1">
      <formula>$S$50="Seleccione"</formula>
    </cfRule>
  </conditionalFormatting>
  <conditionalFormatting sqref="AF50:AL50">
    <cfRule type="expression" dxfId="75" priority="55" stopIfTrue="1">
      <formula>$AB$50="Seleccione"</formula>
    </cfRule>
    <cfRule type="expression" dxfId="74" priority="56" stopIfTrue="1">
      <formula>$AB$50="NO"</formula>
    </cfRule>
  </conditionalFormatting>
  <conditionalFormatting sqref="AB50:AL50">
    <cfRule type="expression" dxfId="73" priority="54" stopIfTrue="1">
      <formula>$S$50="Oculto"</formula>
    </cfRule>
  </conditionalFormatting>
  <conditionalFormatting sqref="X51:AL51">
    <cfRule type="expression" dxfId="72" priority="48" stopIfTrue="1">
      <formula>$S$51="No"</formula>
    </cfRule>
    <cfRule type="expression" dxfId="71" priority="52" stopIfTrue="1">
      <formula>$S$51="Seleccione"</formula>
    </cfRule>
  </conditionalFormatting>
  <conditionalFormatting sqref="AF51:AL51">
    <cfRule type="expression" dxfId="70" priority="50" stopIfTrue="1">
      <formula>$AB$51="Seleccione"</formula>
    </cfRule>
    <cfRule type="expression" dxfId="69" priority="51" stopIfTrue="1">
      <formula>$AB$51="NO"</formula>
    </cfRule>
  </conditionalFormatting>
  <conditionalFormatting sqref="AB51:AL51">
    <cfRule type="expression" dxfId="68" priority="49" stopIfTrue="1">
      <formula>$S$51="Oculto"</formula>
    </cfRule>
  </conditionalFormatting>
  <conditionalFormatting sqref="X52:AL52">
    <cfRule type="expression" dxfId="67" priority="43" stopIfTrue="1">
      <formula>$S$52="No"</formula>
    </cfRule>
    <cfRule type="expression" dxfId="66" priority="47" stopIfTrue="1">
      <formula>$S$52="Seleccione"</formula>
    </cfRule>
  </conditionalFormatting>
  <conditionalFormatting sqref="AF52:AL52">
    <cfRule type="expression" dxfId="65" priority="45" stopIfTrue="1">
      <formula>$AB$52="Seleccione"</formula>
    </cfRule>
    <cfRule type="expression" dxfId="64" priority="46" stopIfTrue="1">
      <formula>$AB$52="NO"</formula>
    </cfRule>
  </conditionalFormatting>
  <conditionalFormatting sqref="AB52:AL52">
    <cfRule type="expression" dxfId="63" priority="44" stopIfTrue="1">
      <formula>$S$52="Oculto"</formula>
    </cfRule>
  </conditionalFormatting>
  <conditionalFormatting sqref="X53:AL53">
    <cfRule type="expression" dxfId="62" priority="38" stopIfTrue="1">
      <formula>$S$53="No"</formula>
    </cfRule>
    <cfRule type="expression" dxfId="61" priority="42" stopIfTrue="1">
      <formula>$S$53="Seleccione"</formula>
    </cfRule>
  </conditionalFormatting>
  <conditionalFormatting sqref="AF53:AL53">
    <cfRule type="expression" dxfId="60" priority="40" stopIfTrue="1">
      <formula>$AB$53="Seleccione"</formula>
    </cfRule>
    <cfRule type="expression" dxfId="59" priority="41" stopIfTrue="1">
      <formula>$AB$53="NO"</formula>
    </cfRule>
  </conditionalFormatting>
  <conditionalFormatting sqref="AB53:AL53">
    <cfRule type="expression" dxfId="58" priority="39" stopIfTrue="1">
      <formula>$S$53="Oculto"</formula>
    </cfRule>
  </conditionalFormatting>
  <conditionalFormatting sqref="X54:AL54">
    <cfRule type="expression" dxfId="57" priority="33" stopIfTrue="1">
      <formula>$S$54="No"</formula>
    </cfRule>
    <cfRule type="expression" dxfId="56" priority="37" stopIfTrue="1">
      <formula>$S$54="Seleccione"</formula>
    </cfRule>
  </conditionalFormatting>
  <conditionalFormatting sqref="AF54:AL54">
    <cfRule type="expression" dxfId="55" priority="35" stopIfTrue="1">
      <formula>$AB$54="Seleccione"</formula>
    </cfRule>
    <cfRule type="expression" dxfId="54" priority="36" stopIfTrue="1">
      <formula>$AB$54="NO"</formula>
    </cfRule>
  </conditionalFormatting>
  <conditionalFormatting sqref="AB54:AL54">
    <cfRule type="expression" dxfId="53" priority="34" stopIfTrue="1">
      <formula>$S$54="Oculto"</formula>
    </cfRule>
  </conditionalFormatting>
  <conditionalFormatting sqref="X55:AL55">
    <cfRule type="expression" dxfId="52" priority="28" stopIfTrue="1">
      <formula>$S$55="No"</formula>
    </cfRule>
    <cfRule type="expression" dxfId="51" priority="32" stopIfTrue="1">
      <formula>$S$55="Seleccione"</formula>
    </cfRule>
  </conditionalFormatting>
  <conditionalFormatting sqref="AF55:AL55">
    <cfRule type="expression" dxfId="50" priority="30" stopIfTrue="1">
      <formula>$AB$55="Seleccione"</formula>
    </cfRule>
    <cfRule type="expression" dxfId="49" priority="31" stopIfTrue="1">
      <formula>$AB$55="NO"</formula>
    </cfRule>
  </conditionalFormatting>
  <conditionalFormatting sqref="AB55:AL55">
    <cfRule type="expression" dxfId="48" priority="29" stopIfTrue="1">
      <formula>$S$55="Oculto"</formula>
    </cfRule>
  </conditionalFormatting>
  <conditionalFormatting sqref="X56:AL56">
    <cfRule type="expression" dxfId="47" priority="23" stopIfTrue="1">
      <formula>$S$56="No"</formula>
    </cfRule>
    <cfRule type="expression" dxfId="46" priority="27" stopIfTrue="1">
      <formula>$S$56="Seleccione"</formula>
    </cfRule>
  </conditionalFormatting>
  <conditionalFormatting sqref="AF56:AL56">
    <cfRule type="expression" dxfId="45" priority="25" stopIfTrue="1">
      <formula>$AB$56="Seleccione"</formula>
    </cfRule>
    <cfRule type="expression" dxfId="44" priority="26" stopIfTrue="1">
      <formula>$AB$56="NO"</formula>
    </cfRule>
  </conditionalFormatting>
  <conditionalFormatting sqref="AB56:AL56">
    <cfRule type="expression" dxfId="43" priority="24" stopIfTrue="1">
      <formula>$S$56="Oculto"</formula>
    </cfRule>
  </conditionalFormatting>
  <conditionalFormatting sqref="S27:AC27">
    <cfRule type="expression" dxfId="42" priority="22" stopIfTrue="1">
      <formula>$K$27="Seleccione"</formula>
    </cfRule>
  </conditionalFormatting>
  <conditionalFormatting sqref="T27:AB27">
    <cfRule type="expression" dxfId="41" priority="20" stopIfTrue="1">
      <formula>$K$27=".NET"</formula>
    </cfRule>
    <cfRule type="expression" dxfId="40" priority="21" stopIfTrue="1">
      <formula>$K$27="JAVA"</formula>
    </cfRule>
  </conditionalFormatting>
  <conditionalFormatting sqref="B59:AL59 C57:H57 P57:R57 V57:AL57 B58:Z58 AB58:AL58">
    <cfRule type="expression" dxfId="39" priority="19" stopIfTrue="1">
      <formula>$K$29="NO"</formula>
    </cfRule>
  </conditionalFormatting>
  <conditionalFormatting sqref="B73:AA75">
    <cfRule type="expression" dxfId="38" priority="11" stopIfTrue="1">
      <formula>$P$71&lt;&gt;"SI"</formula>
    </cfRule>
  </conditionalFormatting>
  <conditionalFormatting sqref="B87:AA93">
    <cfRule type="expression" dxfId="37" priority="9" stopIfTrue="1">
      <formula>$W$63="- seleccione -"</formula>
    </cfRule>
  </conditionalFormatting>
  <conditionalFormatting sqref="B61:AA64 B66:AA85 G65:Q65">
    <cfRule type="expression" dxfId="36" priority="6" stopIfTrue="1">
      <formula>$DH$1="PSE Hosting Portales"</formula>
    </cfRule>
  </conditionalFormatting>
  <conditionalFormatting sqref="AC63:AG63">
    <cfRule type="expression" dxfId="35" priority="5" stopIfTrue="1">
      <formula>$W$63&lt;&gt;"Distribuidor de PSE Hosting"</formula>
    </cfRule>
  </conditionalFormatting>
  <conditionalFormatting sqref="S65:W65">
    <cfRule type="expression" dxfId="34" priority="4" stopIfTrue="1">
      <formula>$N$65&lt;&gt;"Distribuidor de PSE Hosting"</formula>
    </cfRule>
  </conditionalFormatting>
  <conditionalFormatting sqref="B65">
    <cfRule type="expression" dxfId="33" priority="3" stopIfTrue="1">
      <formula>$DH$1="PSE Hosting Portales"</formula>
    </cfRule>
  </conditionalFormatting>
  <conditionalFormatting sqref="B87:AA93">
    <cfRule type="expression" dxfId="32" priority="103" stopIfTrue="1">
      <formula>$W$63=$N$65</formula>
    </cfRule>
  </conditionalFormatting>
  <conditionalFormatting sqref="T30:AN30 T29:AC29 AE29:AN29">
    <cfRule type="expression" dxfId="31" priority="127" stopIfTrue="1">
      <formula>#REF!="Seleccione"</formula>
    </cfRule>
    <cfRule type="expression" dxfId="30" priority="128" stopIfTrue="1">
      <formula>#REF!="NO"</formula>
    </cfRule>
  </conditionalFormatting>
  <conditionalFormatting sqref="AL29:AN30">
    <cfRule type="expression" dxfId="29" priority="133" stopIfTrue="1">
      <formula>#REF!="- seleccione - "</formula>
    </cfRule>
    <cfRule type="expression" dxfId="28" priority="134" stopIfTrue="1">
      <formula>#REF!="NO"</formula>
    </cfRule>
  </conditionalFormatting>
  <dataValidations count="39">
    <dataValidation allowBlank="1" showInputMessage="1" showErrorMessage="1" prompt="Dato que sera impreso en el codigo de barras para identificar el recaudo en la caja de la entidad bancaria." sqref="T29:T30" xr:uid="{8E7048E3-0E6E-43BD-B4DB-D98B0B9257AB}"/>
    <dataValidation allowBlank="1" showInputMessage="1" showErrorMessage="1" prompt="El número de facturas generadas serán incluidas dentro del paquete transaccional, por lo cual se recomienda especificar el máximo de veces que se podrá generar una misma factura. " sqref="AL29:AL30" xr:uid="{D27E65B2-21C4-436E-865D-C9B0699F9487}"/>
    <dataValidation allowBlank="1" showInputMessage="1" showErrorMessage="1" prompt="De acuerdo con la actividad económica de la empresa indique en que segmento se encuentra de la lista. " sqref="B10:J10" xr:uid="{ECE1E453-2CB7-44E6-8F1F-529D83DD9AFB}"/>
    <dataValidation allowBlank="1" showInputMessage="1" showErrorMessage="1" prompt="Dentro del Web Service se pueden enviar 3 valores adicionales para el pago, como pago mínimo, pago total, y otro valor el cual puede ser editado. " sqref="B29:J29" xr:uid="{DD229D7D-0C0F-48C6-9AE8-7EBAE69C5FF0}"/>
    <dataValidation type="list" allowBlank="1" showInputMessage="1" showErrorMessage="1" prompt="Dentro del Web Service se pueden enviar 3 valores adicionales para el pago, como pago mínimo, pago total, y otro valor el cual puede ser editado. " sqref="K29:P29" xr:uid="{048911C3-F623-440C-8B09-3A7016FDB020}">
      <formula1>"NO,SI"</formula1>
    </dataValidation>
    <dataValidation allowBlank="1" showInputMessage="1" showErrorMessage="1" prompt="Valide con el técnico encargado sobre que estándar desarrollará la solución de pagos." sqref="B27:J27" xr:uid="{34170FF2-C8D2-473D-B02F-73F9439BDFE0}"/>
    <dataValidation type="list" allowBlank="1" showInputMessage="1" showErrorMessage="1" prompt="¿PSE Hosting solicitará el diligenciamiento de este campo?, de ser correcto indique “Visible” de lo contrario indique “Oculto” o si no utilizará el campo indique “No”." sqref="S49:U56" xr:uid="{DD7239A1-D47B-4C9B-AC40-3A0479A0DDF8}">
      <formula1>"Seleccione,Visible, Oculto,No"</formula1>
    </dataValidation>
    <dataValidation type="custom" allowBlank="1" showInputMessage="1" showErrorMessage="1" prompt="Este campo no viaja en el Web Service. " sqref="X43:Z43" xr:uid="{88757F55-7C88-486B-82A2-F84EF6961D98}">
      <formula1>"NO"</formula1>
    </dataValidation>
    <dataValidation allowBlank="1" showInputMessage="1" showErrorMessage="1" prompt="Este campo se puede utilizar para validar que el acceso sea realizado por una persona y no por software." sqref="B43:H43" xr:uid="{0A41F019-7F61-4241-BE11-327350B016B5}"/>
    <dataValidation allowBlank="1" showInputMessage="1" showErrorMessage="1" prompt="Este campo no viaja en el Web Service. " sqref="X42:Z42" xr:uid="{A74B9107-2603-4352-A998-930CDF4A2562}"/>
    <dataValidation allowBlank="1" showInputMessage="1" showErrorMessage="1" prompt="Puede personalizar el texto del botón “Pagar” en el formulario de pago y previa validación." sqref="B42:H42" xr:uid="{4CC6D2E0-9C72-4A3C-B534-E9A7F74D5B45}"/>
    <dataValidation allowBlank="1" showInputMessage="1" showErrorMessage="1" prompt="Email al cual se enviara un comprobante del pago. " sqref="B41:H41" xr:uid="{D9AAF219-B952-492C-A284-FB1228C84FA0}"/>
    <dataValidation type="list" allowBlank="1" showInputMessage="1" showErrorMessage="1" prompt="Información diligenciada por el usuario final en el formulario de validación." sqref="AB39:AD41 AB43:AD56" xr:uid="{5F1E2E3E-878A-4B50-A1BE-9BDE3E8D86B5}">
      <formula1>"Seleccione,SI,NO"</formula1>
    </dataValidation>
    <dataValidation type="list" allowBlank="1" showInputMessage="1" showErrorMessage="1" prompt="¿PSE Hosting solicitará el diligenciamiento de este campo?, de ser correcto indique Visible de lo contrario indique Oculto." sqref="S39:U42 S44:U48" xr:uid="{4ACC1803-15C6-42AE-8854-87F0743A159D}">
      <formula1>"Seleccione,Visible, Oculto"</formula1>
    </dataValidation>
    <dataValidation allowBlank="1" showInputMessage="1" showErrorMessage="1" prompt="El cliente final puede utilizar una clave para verificar su acceso e identificar las obligaciones pendientes por pago." sqref="B39:H39" xr:uid="{7901FD05-BDFC-4AC0-86CC-1A81FACA5C56}"/>
    <dataValidation allowBlank="1" showInputMessage="1" showErrorMessage="1" prompt="Este campo debe ser diligenciado por el usuario final al iniciar la validación. " sqref="AB38:AD38" xr:uid="{18F30D09-621B-4630-B965-18C6D68DE594}"/>
    <dataValidation allowBlank="1" showInputMessage="1" showErrorMessage="1" prompt="Indica si el campo es obligatorio para su diligenciamiento por parte del usuario final." sqref="AB37:AD37" xr:uid="{679E7F6F-CB8F-4AC6-BE1C-63A576429AC3}"/>
    <dataValidation allowBlank="1" showInputMessage="1" showErrorMessage="1" prompt="Esta información viaja de manera obligatoria en el web Service de comunicación." sqref="X37:Z37" xr:uid="{39A225DF-CCB7-4AD1-9B22-0E44D277DC0F}"/>
    <dataValidation type="custom" allowBlank="1" showInputMessage="1" showErrorMessage="1" prompt="Esta información viaja de manera obligatoria en el web Service de comunicación." sqref="X38:Z41 X44:Z59" xr:uid="{988C66DD-D79B-4E23-A312-478F120F7472}">
      <formula1>"SI"</formula1>
    </dataValidation>
    <dataValidation type="custom" allowBlank="1" showInputMessage="1" showErrorMessage="1" prompt="Información que visualizara el cliente durante el proceso de pago." sqref="S38:U38 S58:U59 S43:U43" xr:uid="{D5F35C0B-AD99-4B4D-83BC-1C1CA35549C0}">
      <formula1>"Visible"</formula1>
    </dataValidation>
    <dataValidation allowBlank="1" showInputMessage="1" showErrorMessage="1" prompt="Información que visualizara el cliente durante el proceso de pago." sqref="R37:V37" xr:uid="{9F5DA1DC-A10F-4F2C-99F9-486142C7BA0A}"/>
    <dataValidation allowBlank="1" showInputMessage="1" showErrorMessage="1" prompt="Indique el nombre personalizado que tendrá este campo y que visualizará el usuario final durante el pago." sqref="I37:O59" xr:uid="{BFAA84C0-316A-4D0F-8DD0-E7B2C5D21DDD}"/>
    <dataValidation allowBlank="1" showInputMessage="1" showErrorMessage="1" prompt="Numero de consulta o identificación del cliente en la empresa, con esta información la empresa consulta si el cliente tiene obligaciones pendientes, equivale al “queryID” en el Web Service. " sqref="B38:H38" xr:uid="{4E8CEE05-86BC-40E2-9670-D532D0FB9FFB}"/>
    <dataValidation type="list" allowBlank="1" showInputMessage="1" showErrorMessage="1" prompt="Valide con el técnico encargado sobre que estándar desarrollará la solución de pagos." sqref="K27:P27" xr:uid="{C955F16F-4938-496E-B6FE-CE909C498AE7}">
      <formula1>"Seleccione, JAVA, .NET, Otro"</formula1>
    </dataValidation>
    <dataValidation allowBlank="1" showInputMessage="1" showErrorMessage="1" prompt="Logotipo de la compañía (155X96 pixeles; Tamaño: 11 KB; Formato JPG o GIF fondo transparente) **En caso de utilizar un logo diferente al de la empresa a vincular, anexar autorización escrita del propietario de la marca comercial. " sqref="B21:N21" xr:uid="{59CEB647-8A75-46F4-975B-A6BFE417563F}"/>
    <dataValidation type="list" allowBlank="1" showInputMessage="1" showErrorMessage="1" error="Dato No Valido" prompt="Para visualizar un ejemplo de la platilla puede dar clic en el vínculo (Ver Plantilla)." sqref="O21:T21" xr:uid="{4C7037DA-8713-4756-B69A-93E69E94C8F7}">
      <formula1>"Seleccione, Plantilla Tipo 1, Plantilla Tipo 2"</formula1>
    </dataValidation>
    <dataValidation allowBlank="1" showInputMessage="1" showErrorMessage="1" prompt="El envió de información de manera segura se realiza a través de un túnel de comunicación VPN, es necesario que diligencie la información requerida para la construcción de este canal. " sqref="B18:Q19" xr:uid="{24FCA001-9F1E-42F0-8275-21C35CCFE281}"/>
    <dataValidation type="list" allowBlank="1" showInputMessage="1" showErrorMessage="1" sqref="X66:AA66" xr:uid="{00A9C9ED-E089-41FF-BF2D-C7313A92EFBD}">
      <formula1>"Empresa, Banco, Aliado estratégico"</formula1>
    </dataValidation>
    <dataValidation type="list" allowBlank="1" showInputMessage="1" showErrorMessage="1" sqref="F66:I66" xr:uid="{2F0F9C9D-0334-49B6-A6F9-25B29A3D1E3D}">
      <formula1>"Paquete 100, paquete 500, Paquete 2.000, Paquete 5.000"</formula1>
    </dataValidation>
    <dataValidation allowBlank="1" showInputMessage="1" showErrorMessage="1" prompt="ACH Colombia debe enviar algun documento adicional para aceptar y cancelar la facura, especifique que documentos u otros requisitos se deben cumplir." sqref="B71:O71" xr:uid="{71BDE94F-E55B-4329-B052-E831B79F1ABA}"/>
    <dataValidation allowBlank="1" showInputMessage="1" showErrorMessage="1" prompt="Si no aplica relacione N/A" sqref="B69:AA69" xr:uid="{F11B0CF0-1D4A-42C2-A244-EFEC6E158611}"/>
    <dataValidation allowBlank="1" showInputMessage="1" showErrorMessage="1" prompt="Por favor relacione las fechas estipuladas en su empresa para recibir facturas de cobro." sqref="B67:H67" xr:uid="{238A2CA7-8ABD-447B-B243-D4FDE49D06B9}"/>
    <dataValidation type="list" allowBlank="1" showInputMessage="1" showErrorMessage="1" prompt="Seleccione el responsable del pago de la funcionalidad." sqref="W63:AA63" xr:uid="{884AFB2E-922D-40D2-9E26-6E9ECB61752C}">
      <formula1>"Empresa, Banco, Distribuidor Financiero, Distribuidor de PSE Hosting"</formula1>
    </dataValidation>
    <dataValidation allowBlank="1" showInputMessage="1" showErrorMessage="1" prompt="Este es el costo sin IVA de la funcionalidad y medios de pagos seleccionados. " sqref="J63:O63 B63:G63" xr:uid="{60C0F4FD-7131-4A07-BA62-AB4B5BFFF0E4}"/>
    <dataValidation type="list" allowBlank="1" showInputMessage="1" showErrorMessage="1" prompt="ACH Colombia debe enviar algun documento adicional para aceptar y cancelar la facura, especifique que documentos u otros requisitos se deben cumplir." sqref="P71:R71" xr:uid="{258C4430-AEAB-4B53-8078-131F736C9110}">
      <formula1>"Si, No"</formula1>
    </dataValidation>
    <dataValidation type="list" allowBlank="1" showInputMessage="1" showErrorMessage="1" prompt="Seleccione el responsable del pago del Plan Transaccional." sqref="N65:Q65" xr:uid="{C00AC3AA-D337-4792-9BF1-21DC7B2D40A2}">
      <formula1>"Empresa, Banco, Distribuidor Financiero, Distribuidor de PSE Hosting"</formula1>
    </dataValidation>
    <dataValidation type="list" allowBlank="1" showInputMessage="1" showErrorMessage="1" prompt="Seleccione el Distribuidor de PSE Hosting a cargo. " sqref="AC63:AG63 S65:W65" xr:uid="{F0220BB4-4ECC-456F-AA8A-57F11A33F4B9}">
      <formula1>DistribuidorHosting</formula1>
    </dataValidation>
    <dataValidation allowBlank="1" showInputMessage="1" showErrorMessage="1" prompt="Cobro que se realiza de manera mensual. Su valor dependerá del rango de transacciones consumidas en el mes." sqref="B65" xr:uid="{E356B872-290E-4AB9-8B8E-88803F2354A2}"/>
    <dataValidation type="list" allowBlank="1" showInputMessage="1" showErrorMessage="1" sqref="K10:AA10" xr:uid="{193EAC1C-D649-46C5-A307-938AE4D92A2A}">
      <formula1>INDIRECT($K$9)</formula1>
    </dataValidation>
  </dataValidations>
  <hyperlinks>
    <hyperlink ref="J18:O18" location="'Plantilla de Configuración'!A1" display="(Conozca las plantillas Clic aquí)" xr:uid="{48292560-6128-4C41-B8F4-0278EC9591FA}"/>
    <hyperlink ref="J18:P18" location="VPN!G9" display="(Registre aquí, formato VPN)" xr:uid="{B536BC13-D4F1-4877-B588-2A3346A70A6E}"/>
    <hyperlink ref="B65" location="Tarifas!A1" display="Cobro transaccional: " xr:uid="{218D478F-3B72-481A-AE38-7FBE6AD472D6}"/>
  </hyperlinks>
  <printOptions horizontalCentered="1"/>
  <pageMargins left="0.70866141732283472" right="0.70866141732283472" top="0.74803149606299213" bottom="0.74803149606299213" header="0.31496062992125984" footer="0.31496062992125984"/>
  <pageSetup scale="66" orientation="portrait" r:id="rId2"/>
  <headerFooter>
    <oddHeader>&amp;L&amp;"Calibri"&amp;10&amp;K000000 Información de carácter Confidencial&amp;1#_x000D_</oddHeader>
  </headerFooter>
  <drawing r:id="rId3"/>
  <extLst>
    <ext xmlns:x14="http://schemas.microsoft.com/office/spreadsheetml/2009/9/main" uri="{CCE6A557-97BC-4b89-ADB6-D9C93CAAB3DF}">
      <x14:dataValidations xmlns:xm="http://schemas.microsoft.com/office/excel/2006/main" count="1">
        <x14:dataValidation type="list" allowBlank="1" showInputMessage="1" showErrorMessage="1" xr:uid="{380C53AA-E9DD-4BF1-8B3F-404B2FB1F18A}">
          <x14:formula1>
            <xm:f>DT!$A$2:$A$10</xm:f>
          </x14:formula1>
          <xm:sqref>K9:AA9</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F68F5F-4199-4FA1-974C-D4DF7533795A}">
  <sheetPr codeName="Hoja6">
    <pageSetUpPr fitToPage="1"/>
  </sheetPr>
  <dimension ref="A1:IV63"/>
  <sheetViews>
    <sheetView showGridLines="0" zoomScaleNormal="100" workbookViewId="0">
      <selection sqref="A1:AC4"/>
    </sheetView>
  </sheetViews>
  <sheetFormatPr baseColWidth="10" defaultColWidth="11.44140625" defaultRowHeight="13.8" x14ac:dyDescent="0.3"/>
  <cols>
    <col min="1" max="1" width="2.44140625" style="93" customWidth="1"/>
    <col min="2" max="2" width="4" style="93" customWidth="1"/>
    <col min="3" max="3" width="5" style="93" customWidth="1"/>
    <col min="4" max="4" width="5.88671875" style="93" customWidth="1"/>
    <col min="5" max="5" width="13.6640625" style="93" customWidth="1"/>
    <col min="6" max="6" width="3.6640625" style="93" customWidth="1"/>
    <col min="7" max="7" width="3.33203125" style="93" customWidth="1"/>
    <col min="8" max="8" width="7.5546875" style="93" customWidth="1"/>
    <col min="9" max="9" width="5.88671875" style="93" customWidth="1"/>
    <col min="10" max="10" width="3.33203125" style="93" customWidth="1"/>
    <col min="11" max="11" width="5.88671875" style="93" customWidth="1"/>
    <col min="12" max="12" width="4.44140625" style="93" customWidth="1"/>
    <col min="13" max="13" width="3.6640625" style="93" customWidth="1"/>
    <col min="14" max="14" width="6.44140625" style="93" customWidth="1"/>
    <col min="15" max="20" width="3.6640625" style="93" customWidth="1"/>
    <col min="21" max="21" width="5.5546875" style="93" customWidth="1"/>
    <col min="22" max="24" width="3.6640625" style="93" customWidth="1"/>
    <col min="25" max="25" width="3.44140625" style="93" customWidth="1"/>
    <col min="26" max="26" width="4.33203125" style="93" customWidth="1"/>
    <col min="27" max="27" width="6.5546875" style="95" customWidth="1"/>
    <col min="28" max="28" width="4.6640625" style="95" customWidth="1"/>
    <col min="29" max="29" width="10.109375" style="93" customWidth="1"/>
    <col min="30" max="30" width="5" style="93" customWidth="1"/>
    <col min="31" max="31" width="6.44140625" style="93" customWidth="1"/>
    <col min="32" max="32" width="3.6640625" style="93" customWidth="1"/>
    <col min="33" max="33" width="4.33203125" style="93" customWidth="1"/>
    <col min="34" max="42" width="10.6640625" style="93" customWidth="1"/>
    <col min="43" max="64" width="3.6640625" style="93" customWidth="1"/>
    <col min="65" max="16384" width="11.44140625" style="93"/>
  </cols>
  <sheetData>
    <row r="1" spans="1:256" ht="15.6" x14ac:dyDescent="0.3">
      <c r="A1" s="283"/>
      <c r="B1" s="379"/>
      <c r="C1" s="379"/>
      <c r="D1" s="379"/>
      <c r="E1" s="379"/>
      <c r="F1" s="379"/>
      <c r="G1" s="379"/>
      <c r="H1" s="379"/>
      <c r="I1" s="379"/>
      <c r="J1" s="379"/>
      <c r="K1" s="379"/>
      <c r="L1" s="379"/>
      <c r="M1" s="379"/>
      <c r="N1" s="379"/>
      <c r="O1" s="379"/>
      <c r="P1" s="379"/>
      <c r="Q1" s="379"/>
      <c r="R1" s="379"/>
      <c r="S1" s="379"/>
      <c r="T1" s="379"/>
      <c r="U1" s="379"/>
      <c r="V1" s="379"/>
      <c r="W1" s="379"/>
      <c r="X1" s="379"/>
      <c r="Y1" s="379"/>
      <c r="Z1" s="379"/>
      <c r="AA1" s="379"/>
      <c r="AB1" s="285"/>
      <c r="AC1" s="283"/>
      <c r="DG1" s="94" t="s">
        <v>297</v>
      </c>
      <c r="DH1" s="94" t="e">
        <f>#REF!</f>
        <v>#REF!</v>
      </c>
    </row>
    <row r="2" spans="1:256" ht="15.6" x14ac:dyDescent="0.3">
      <c r="A2" s="283"/>
      <c r="B2" s="379" t="s">
        <v>77</v>
      </c>
      <c r="C2" s="379"/>
      <c r="D2" s="379"/>
      <c r="E2" s="379"/>
      <c r="F2" s="379"/>
      <c r="G2" s="379"/>
      <c r="H2" s="379"/>
      <c r="I2" s="379"/>
      <c r="J2" s="379"/>
      <c r="K2" s="379"/>
      <c r="L2" s="379"/>
      <c r="M2" s="379"/>
      <c r="N2" s="379"/>
      <c r="O2" s="379"/>
      <c r="P2" s="379"/>
      <c r="Q2" s="379"/>
      <c r="R2" s="379"/>
      <c r="S2" s="379"/>
      <c r="T2" s="379"/>
      <c r="U2" s="379"/>
      <c r="V2" s="379"/>
      <c r="W2" s="379"/>
      <c r="X2" s="379"/>
      <c r="Y2" s="379"/>
      <c r="Z2" s="379"/>
      <c r="AA2" s="379"/>
      <c r="AB2" s="285"/>
      <c r="AC2" s="283"/>
      <c r="AK2" s="289"/>
      <c r="DG2" s="94" t="s">
        <v>298</v>
      </c>
      <c r="DH2" s="94" t="e">
        <f>#REF!</f>
        <v>#REF!</v>
      </c>
    </row>
    <row r="3" spans="1:256" ht="15.6" x14ac:dyDescent="0.3">
      <c r="A3" s="283"/>
      <c r="B3" s="285" t="s">
        <v>182</v>
      </c>
      <c r="C3" s="285"/>
      <c r="D3" s="285"/>
      <c r="E3" s="285"/>
      <c r="F3" s="285"/>
      <c r="G3" s="285"/>
      <c r="H3" s="285"/>
      <c r="I3" s="286"/>
      <c r="J3" s="285" t="s">
        <v>180</v>
      </c>
      <c r="K3" s="285"/>
      <c r="L3" s="285"/>
      <c r="M3" s="285"/>
      <c r="N3" s="285"/>
      <c r="O3" s="285"/>
      <c r="P3" s="285"/>
      <c r="Q3" s="285"/>
      <c r="R3" s="285"/>
      <c r="S3" s="285"/>
      <c r="T3" s="285"/>
      <c r="U3" s="285"/>
      <c r="V3" s="285"/>
      <c r="W3" s="285"/>
      <c r="X3" s="285"/>
      <c r="Y3" s="285"/>
      <c r="Z3" s="287"/>
      <c r="AA3" s="287"/>
      <c r="AB3" s="283"/>
      <c r="AC3" s="283"/>
    </row>
    <row r="4" spans="1:256" ht="15.6" x14ac:dyDescent="0.3">
      <c r="A4" s="283"/>
      <c r="B4" s="288" t="s">
        <v>5</v>
      </c>
      <c r="C4" s="288"/>
      <c r="D4" s="288"/>
      <c r="E4" s="288"/>
      <c r="F4" s="288"/>
      <c r="G4" s="288"/>
      <c r="H4" s="288"/>
      <c r="I4" s="288"/>
      <c r="J4" s="288"/>
      <c r="K4" s="288"/>
      <c r="L4" s="288"/>
      <c r="M4" s="288"/>
      <c r="N4" s="288"/>
      <c r="O4" s="288"/>
      <c r="P4" s="288"/>
      <c r="Q4" s="288"/>
      <c r="R4" s="288"/>
      <c r="S4" s="288"/>
      <c r="T4" s="288"/>
      <c r="U4" s="288"/>
      <c r="V4" s="288"/>
      <c r="W4" s="288"/>
      <c r="X4" s="288"/>
      <c r="Y4" s="288"/>
      <c r="Z4" s="288"/>
      <c r="AA4" s="288"/>
      <c r="AB4" s="288"/>
      <c r="AC4" s="288"/>
      <c r="AK4" s="289"/>
    </row>
    <row r="5" spans="1:256" ht="7.5" customHeight="1" x14ac:dyDescent="0.3">
      <c r="B5" s="95"/>
      <c r="C5" s="95"/>
      <c r="D5" s="95"/>
      <c r="E5" s="95"/>
      <c r="F5" s="95"/>
      <c r="G5" s="95"/>
      <c r="H5" s="95"/>
      <c r="I5" s="95"/>
      <c r="J5" s="95"/>
      <c r="K5" s="95"/>
      <c r="L5" s="95"/>
      <c r="M5" s="95"/>
      <c r="N5" s="95"/>
      <c r="O5" s="95"/>
      <c r="P5" s="95"/>
      <c r="Q5" s="95"/>
      <c r="R5" s="95"/>
      <c r="S5" s="95"/>
      <c r="T5" s="95"/>
      <c r="U5" s="95"/>
      <c r="V5" s="95"/>
      <c r="W5" s="95"/>
      <c r="X5" s="95"/>
      <c r="Y5" s="95"/>
      <c r="Z5" s="95"/>
      <c r="AK5" s="290"/>
    </row>
    <row r="6" spans="1:256" ht="15" customHeight="1" x14ac:dyDescent="0.3">
      <c r="B6" s="145" t="s">
        <v>18</v>
      </c>
      <c r="C6" s="145"/>
      <c r="D6" s="145"/>
      <c r="E6" s="145"/>
      <c r="F6" s="95"/>
      <c r="G6" s="147"/>
      <c r="H6" s="147"/>
      <c r="I6" s="147"/>
      <c r="J6" s="147"/>
      <c r="K6" s="147"/>
      <c r="L6" s="147"/>
      <c r="M6" s="147"/>
      <c r="N6" s="147"/>
      <c r="O6" s="147"/>
      <c r="P6" s="147"/>
      <c r="Q6" s="147"/>
      <c r="R6" s="147"/>
      <c r="S6" s="147"/>
      <c r="T6" s="147"/>
      <c r="U6" s="147"/>
      <c r="V6" s="147"/>
      <c r="W6" s="147"/>
      <c r="X6" s="147"/>
      <c r="Y6" s="147"/>
      <c r="Z6" s="147"/>
      <c r="AA6" s="147"/>
      <c r="AB6" s="5"/>
      <c r="AK6" s="289"/>
      <c r="DL6" s="93" cm="1">
        <f t="array" ref="DL6:DL22">+_xlfn._xlws.SORT(_xlfn._xlws.FILTER(DI6:DI22,NOT(COUNTIF(Q:Q,DI6:DI22))))</f>
        <v>0</v>
      </c>
    </row>
    <row r="7" spans="1:256" ht="15.6" x14ac:dyDescent="0.3">
      <c r="B7" s="95"/>
      <c r="C7" s="95"/>
      <c r="D7" s="95"/>
      <c r="E7" s="95"/>
      <c r="F7" s="95"/>
      <c r="G7" s="95"/>
      <c r="H7" s="95"/>
      <c r="I7" s="95"/>
      <c r="J7" s="95"/>
      <c r="K7" s="95"/>
      <c r="L7" s="95"/>
      <c r="M7" s="95"/>
      <c r="N7" s="95"/>
      <c r="O7" s="95"/>
      <c r="P7" s="95"/>
      <c r="Q7" s="95"/>
      <c r="R7" s="95"/>
      <c r="S7" s="95"/>
      <c r="T7" s="95"/>
      <c r="U7" s="95"/>
      <c r="V7" s="95"/>
      <c r="W7" s="95"/>
      <c r="X7" s="95"/>
      <c r="Y7" s="95"/>
      <c r="Z7" s="95"/>
      <c r="AK7" s="290"/>
      <c r="DL7" s="93">
        <v>0</v>
      </c>
    </row>
    <row r="8" spans="1:256" ht="15.6" x14ac:dyDescent="0.3">
      <c r="B8" s="161" t="s">
        <v>19</v>
      </c>
      <c r="C8" s="161"/>
      <c r="D8" s="147"/>
      <c r="E8" s="147"/>
      <c r="F8" s="147"/>
      <c r="G8" s="147"/>
      <c r="H8" s="147"/>
      <c r="I8" s="147"/>
      <c r="K8" s="161" t="s">
        <v>20</v>
      </c>
      <c r="L8" s="161"/>
      <c r="M8" s="161"/>
      <c r="N8" s="161"/>
      <c r="O8" s="161"/>
      <c r="P8" s="161"/>
      <c r="Q8" s="161"/>
      <c r="R8" s="161"/>
      <c r="S8" s="187">
        <f ca="1">+(TODAY())</f>
        <v>45849</v>
      </c>
      <c r="T8" s="187"/>
      <c r="U8" s="187"/>
      <c r="V8" s="187"/>
      <c r="W8" s="187"/>
      <c r="X8" s="187"/>
      <c r="Y8" s="187"/>
      <c r="Z8" s="187"/>
      <c r="AA8" s="187"/>
      <c r="AB8" s="294"/>
      <c r="AD8" s="103"/>
      <c r="AK8" s="290"/>
      <c r="DL8" s="93">
        <v>0</v>
      </c>
    </row>
    <row r="9" spans="1:256" x14ac:dyDescent="0.3">
      <c r="N9" s="100"/>
      <c r="P9" s="100"/>
      <c r="Q9" s="368"/>
      <c r="R9" s="368"/>
      <c r="S9" s="368"/>
      <c r="T9" s="368"/>
      <c r="U9" s="368"/>
      <c r="V9" s="368"/>
      <c r="W9" s="368"/>
      <c r="X9" s="368"/>
      <c r="Y9" s="368"/>
      <c r="Z9" s="99"/>
      <c r="AA9" s="99"/>
      <c r="AD9" s="103"/>
      <c r="DL9" s="93">
        <v>0</v>
      </c>
    </row>
    <row r="10" spans="1:256" ht="15" customHeight="1" x14ac:dyDescent="0.3">
      <c r="B10" s="152" t="s">
        <v>21</v>
      </c>
      <c r="C10" s="152"/>
      <c r="D10" s="152"/>
      <c r="E10" s="152"/>
      <c r="F10" s="152"/>
      <c r="G10" s="152"/>
      <c r="H10" s="152"/>
      <c r="I10" s="152"/>
      <c r="J10" s="152"/>
      <c r="K10" s="152"/>
      <c r="L10" s="152"/>
      <c r="M10" s="152"/>
      <c r="N10" s="152"/>
      <c r="O10" s="152"/>
      <c r="P10" s="152"/>
      <c r="Q10" s="152"/>
      <c r="R10" s="152"/>
      <c r="S10" s="152"/>
      <c r="T10" s="152"/>
      <c r="U10" s="152"/>
      <c r="V10" s="152"/>
      <c r="W10" s="152"/>
      <c r="X10" s="152"/>
      <c r="Y10" s="152"/>
      <c r="Z10" s="152"/>
      <c r="AA10" s="152"/>
      <c r="AB10" s="152"/>
      <c r="AC10" s="152"/>
      <c r="AD10" s="103"/>
      <c r="DL10" s="93">
        <v>0</v>
      </c>
      <c r="IV10" s="101" t="s">
        <v>241</v>
      </c>
    </row>
    <row r="11" spans="1:256" ht="14.4" x14ac:dyDescent="0.3">
      <c r="AB11" s="99"/>
      <c r="AD11" s="103"/>
      <c r="DL11" s="93">
        <v>0</v>
      </c>
      <c r="IV11" s="101" t="s">
        <v>244</v>
      </c>
    </row>
    <row r="12" spans="1:256" ht="14.4" x14ac:dyDescent="0.3">
      <c r="B12" s="176" t="s">
        <v>208</v>
      </c>
      <c r="C12" s="176"/>
      <c r="D12" s="176"/>
      <c r="E12" s="176"/>
      <c r="F12" s="176"/>
      <c r="G12" s="176"/>
      <c r="H12" s="176"/>
      <c r="I12" s="127"/>
      <c r="J12" s="333" t="s">
        <v>65</v>
      </c>
      <c r="K12" s="333"/>
      <c r="L12" s="333"/>
      <c r="M12" s="333"/>
      <c r="N12" s="333"/>
      <c r="O12" s="333"/>
      <c r="P12" s="333"/>
      <c r="Q12" s="127"/>
      <c r="R12" s="127"/>
      <c r="Y12" s="334"/>
      <c r="AB12" s="99"/>
      <c r="AD12" s="103"/>
      <c r="DL12" s="93">
        <v>0</v>
      </c>
      <c r="IV12" s="101" t="s">
        <v>247</v>
      </c>
    </row>
    <row r="13" spans="1:256" ht="15.6" x14ac:dyDescent="0.3">
      <c r="A13" s="289"/>
      <c r="B13" s="289"/>
      <c r="C13" s="289"/>
      <c r="D13" s="289"/>
      <c r="E13" s="289"/>
      <c r="F13" s="289"/>
      <c r="G13" s="289"/>
      <c r="H13" s="289"/>
      <c r="I13" s="289"/>
      <c r="J13" s="289"/>
      <c r="K13" s="289"/>
      <c r="L13" s="289"/>
      <c r="M13" s="289"/>
      <c r="N13" s="289"/>
      <c r="O13" s="289"/>
      <c r="P13" s="289"/>
      <c r="Q13" s="289"/>
      <c r="R13" s="289"/>
      <c r="S13" s="289"/>
      <c r="T13" s="289"/>
      <c r="U13" s="289"/>
      <c r="V13" s="289"/>
      <c r="W13" s="289"/>
      <c r="X13" s="289"/>
      <c r="Y13" s="289"/>
      <c r="Z13" s="289"/>
      <c r="AA13" s="289"/>
      <c r="AB13" s="289"/>
      <c r="AC13" s="289"/>
      <c r="AD13" s="289"/>
      <c r="AE13" s="289"/>
      <c r="AF13" s="289"/>
      <c r="AG13" s="289"/>
      <c r="AH13" s="289"/>
      <c r="AI13" s="289"/>
      <c r="AJ13" s="289"/>
      <c r="AK13" s="289"/>
      <c r="AL13" s="289"/>
      <c r="AM13" s="289"/>
      <c r="AN13" s="289"/>
      <c r="AO13" s="289"/>
      <c r="AP13" s="289"/>
      <c r="AQ13" s="289"/>
      <c r="AR13" s="289"/>
      <c r="AS13" s="289"/>
      <c r="AT13" s="289"/>
      <c r="AU13" s="289"/>
      <c r="AV13" s="289"/>
      <c r="AW13" s="289"/>
      <c r="AX13" s="289"/>
      <c r="AY13" s="289"/>
      <c r="AZ13" s="289"/>
      <c r="BA13" s="289"/>
      <c r="BB13" s="289"/>
      <c r="BC13" s="289"/>
      <c r="BD13" s="289"/>
      <c r="BE13" s="289"/>
      <c r="BF13" s="289"/>
      <c r="BG13" s="289"/>
      <c r="BH13" s="289"/>
      <c r="BI13" s="289"/>
      <c r="BJ13" s="289"/>
      <c r="BK13" s="289"/>
      <c r="BL13" s="289"/>
      <c r="BM13" s="289"/>
      <c r="BN13" s="289"/>
      <c r="BO13" s="289"/>
      <c r="BP13" s="289"/>
      <c r="BQ13" s="289"/>
      <c r="BR13" s="289"/>
      <c r="BS13" s="289"/>
      <c r="BT13" s="289"/>
      <c r="BU13" s="289"/>
      <c r="BV13" s="289"/>
      <c r="BW13" s="289"/>
      <c r="BX13" s="289"/>
      <c r="BY13" s="289"/>
      <c r="BZ13" s="289"/>
      <c r="CA13" s="289"/>
      <c r="CB13" s="289"/>
      <c r="CC13" s="289"/>
      <c r="CD13" s="289"/>
      <c r="CE13" s="289"/>
      <c r="CF13" s="289"/>
      <c r="CG13" s="289"/>
      <c r="CH13" s="289"/>
      <c r="CI13" s="289"/>
      <c r="CJ13" s="289"/>
      <c r="CK13" s="289"/>
      <c r="CL13" s="289"/>
      <c r="CM13" s="289"/>
      <c r="CN13" s="289"/>
      <c r="CO13" s="289"/>
      <c r="CP13" s="289"/>
      <c r="CQ13" s="289"/>
      <c r="CR13" s="289"/>
      <c r="CS13" s="289"/>
      <c r="CT13" s="289"/>
      <c r="CU13" s="289"/>
      <c r="CV13" s="289"/>
      <c r="CW13" s="289"/>
      <c r="CX13" s="289"/>
      <c r="CY13" s="289"/>
      <c r="CZ13" s="289"/>
      <c r="DA13" s="289"/>
      <c r="DB13" s="289"/>
      <c r="DC13" s="289"/>
      <c r="DD13" s="289"/>
      <c r="DE13" s="289"/>
      <c r="DF13" s="289"/>
      <c r="DG13" s="289"/>
      <c r="DH13" s="289"/>
      <c r="DI13" s="289"/>
      <c r="DJ13" s="289"/>
      <c r="DK13" s="289"/>
      <c r="DL13" s="289">
        <v>0</v>
      </c>
      <c r="DM13" s="289"/>
      <c r="DN13" s="289"/>
      <c r="DO13" s="289"/>
      <c r="DP13" s="289"/>
      <c r="DQ13" s="289"/>
      <c r="DR13" s="289"/>
      <c r="DS13" s="289"/>
      <c r="DT13" s="289"/>
      <c r="DU13" s="289"/>
      <c r="DV13" s="289"/>
      <c r="DW13" s="289"/>
      <c r="DX13" s="289"/>
      <c r="DY13" s="289"/>
      <c r="DZ13" s="289"/>
      <c r="EA13" s="289"/>
      <c r="EB13" s="289"/>
      <c r="EC13" s="289"/>
      <c r="ED13" s="289"/>
      <c r="EE13" s="289"/>
      <c r="EF13" s="289"/>
      <c r="EG13" s="289"/>
      <c r="EH13" s="289"/>
      <c r="EI13" s="289"/>
      <c r="EJ13" s="289"/>
      <c r="EK13" s="289"/>
      <c r="EL13" s="289"/>
      <c r="EM13" s="289"/>
      <c r="EN13" s="289"/>
      <c r="EO13" s="289"/>
      <c r="EP13" s="289"/>
      <c r="EQ13" s="289"/>
      <c r="ER13" s="289"/>
      <c r="ES13" s="289"/>
      <c r="ET13" s="289"/>
      <c r="EU13" s="289"/>
      <c r="EV13" s="289"/>
      <c r="EW13" s="289"/>
      <c r="EX13" s="289"/>
      <c r="EY13" s="289"/>
      <c r="EZ13" s="289"/>
      <c r="FA13" s="289"/>
      <c r="FB13" s="289"/>
      <c r="FC13" s="289"/>
      <c r="FD13" s="289"/>
      <c r="FE13" s="289"/>
      <c r="FF13" s="289"/>
      <c r="FG13" s="289"/>
      <c r="FH13" s="289"/>
      <c r="FI13" s="289"/>
      <c r="FJ13" s="289"/>
      <c r="FK13" s="289"/>
      <c r="FL13" s="289"/>
      <c r="FM13" s="289"/>
      <c r="FN13" s="289"/>
      <c r="FO13" s="289"/>
      <c r="FP13" s="289"/>
      <c r="FQ13" s="289"/>
      <c r="FR13" s="289"/>
      <c r="FS13" s="289"/>
      <c r="FT13" s="289"/>
      <c r="FU13" s="289"/>
      <c r="FV13" s="289"/>
      <c r="FW13" s="289"/>
      <c r="FX13" s="289"/>
      <c r="FY13" s="289"/>
      <c r="FZ13" s="289"/>
      <c r="GA13" s="289"/>
      <c r="GB13" s="289"/>
      <c r="GC13" s="289"/>
      <c r="GD13" s="289"/>
      <c r="GE13" s="289"/>
      <c r="GF13" s="289"/>
      <c r="GG13" s="289"/>
      <c r="GH13" s="289"/>
      <c r="GI13" s="289"/>
      <c r="GJ13" s="289"/>
      <c r="GK13" s="289"/>
      <c r="GL13" s="289"/>
      <c r="GM13" s="289"/>
      <c r="GN13" s="289"/>
      <c r="GO13" s="289"/>
      <c r="GP13" s="289"/>
      <c r="GQ13" s="289"/>
      <c r="GR13" s="289"/>
      <c r="GS13" s="289"/>
      <c r="GT13" s="289"/>
      <c r="GU13" s="289"/>
      <c r="GV13" s="289"/>
      <c r="GW13" s="289"/>
      <c r="GX13" s="289"/>
      <c r="GY13" s="289"/>
      <c r="GZ13" s="289"/>
      <c r="HA13" s="289"/>
      <c r="HB13" s="289"/>
      <c r="HC13" s="289"/>
      <c r="HD13" s="289"/>
      <c r="HE13" s="289"/>
      <c r="HF13" s="289"/>
      <c r="HG13" s="289"/>
      <c r="HH13" s="289"/>
      <c r="HI13" s="289"/>
      <c r="HJ13" s="289"/>
      <c r="HK13" s="289"/>
      <c r="HL13" s="289"/>
      <c r="HM13" s="289"/>
      <c r="HN13" s="289"/>
      <c r="HO13" s="289"/>
      <c r="HP13" s="289"/>
      <c r="HQ13" s="289"/>
      <c r="HR13" s="289"/>
      <c r="HS13" s="289"/>
      <c r="HT13" s="289"/>
      <c r="HU13" s="289"/>
      <c r="HV13" s="289"/>
      <c r="HW13" s="289"/>
      <c r="HX13" s="289"/>
      <c r="HY13" s="289"/>
      <c r="HZ13" s="289"/>
      <c r="IA13" s="289"/>
      <c r="IB13" s="289"/>
      <c r="IC13" s="289"/>
      <c r="ID13" s="289"/>
      <c r="IE13" s="289"/>
      <c r="IF13" s="289"/>
      <c r="IG13" s="289"/>
      <c r="IH13" s="289"/>
      <c r="II13" s="289"/>
      <c r="IJ13" s="289"/>
      <c r="IK13" s="289"/>
      <c r="IL13" s="289"/>
      <c r="IM13" s="289"/>
      <c r="IN13" s="289"/>
      <c r="IO13" s="289"/>
      <c r="IP13" s="289"/>
      <c r="IQ13" s="289"/>
      <c r="IR13" s="289"/>
      <c r="IS13" s="289"/>
      <c r="IT13" s="289"/>
      <c r="IU13" s="289"/>
      <c r="IV13" s="101" t="s">
        <v>248</v>
      </c>
    </row>
    <row r="14" spans="1:256" ht="14.4" x14ac:dyDescent="0.3">
      <c r="B14" s="152" t="s">
        <v>22</v>
      </c>
      <c r="C14" s="152"/>
      <c r="D14" s="152"/>
      <c r="E14" s="152"/>
      <c r="F14" s="152"/>
      <c r="G14" s="152"/>
      <c r="H14" s="152"/>
      <c r="I14" s="152"/>
      <c r="J14" s="152"/>
      <c r="K14" s="152"/>
      <c r="L14" s="152"/>
      <c r="M14" s="152"/>
      <c r="N14" s="152"/>
      <c r="O14" s="152"/>
      <c r="P14" s="152"/>
      <c r="Q14" s="152"/>
      <c r="R14" s="152"/>
      <c r="S14" s="152"/>
      <c r="T14" s="152"/>
      <c r="U14" s="152"/>
      <c r="V14" s="152"/>
      <c r="W14" s="152"/>
      <c r="X14" s="152"/>
      <c r="Y14" s="152"/>
      <c r="Z14" s="152"/>
      <c r="AA14" s="152"/>
      <c r="AB14" s="152"/>
      <c r="AC14" s="152"/>
      <c r="DL14" s="93">
        <v>0</v>
      </c>
      <c r="IV14" s="101" t="s">
        <v>249</v>
      </c>
    </row>
    <row r="15" spans="1:256" s="103" customFormat="1" ht="14.4" x14ac:dyDescent="0.3">
      <c r="B15" s="336" t="s">
        <v>155</v>
      </c>
      <c r="C15" s="176"/>
      <c r="D15" s="176"/>
      <c r="E15" s="176"/>
      <c r="F15" s="176"/>
      <c r="G15" s="176"/>
      <c r="H15" s="176"/>
      <c r="I15" s="176"/>
      <c r="J15" s="176"/>
      <c r="K15" s="176"/>
      <c r="L15" s="176"/>
      <c r="M15" s="176"/>
      <c r="N15" s="176"/>
      <c r="O15" s="192" t="s">
        <v>0</v>
      </c>
      <c r="P15" s="192"/>
      <c r="Q15" s="192"/>
      <c r="R15" s="192"/>
      <c r="S15" s="192"/>
      <c r="T15" s="192"/>
      <c r="U15" s="93"/>
      <c r="V15" s="193" t="str">
        <f>IFERROR(HYPERLINK("#" &amp; VLOOKUP(O15,Datos!$R$4:$S$8,2,0), "Ver Plantilla"),"Seleccione Plantilla")</f>
        <v>Seleccione Plantilla</v>
      </c>
      <c r="W15" s="194"/>
      <c r="X15" s="194"/>
      <c r="Y15" s="194"/>
      <c r="Z15" s="194"/>
      <c r="AA15" s="194"/>
      <c r="AB15" s="194"/>
      <c r="AC15" s="194"/>
      <c r="DL15" s="103">
        <v>0</v>
      </c>
      <c r="IV15" s="101" t="s">
        <v>250</v>
      </c>
    </row>
    <row r="16" spans="1:256" ht="14.4" x14ac:dyDescent="0.3">
      <c r="AA16" s="93"/>
      <c r="DL16" s="93">
        <v>0</v>
      </c>
      <c r="IV16" s="101" t="s">
        <v>253</v>
      </c>
    </row>
    <row r="17" spans="2:256" ht="15" customHeight="1" x14ac:dyDescent="0.3">
      <c r="B17" s="152" t="s">
        <v>29</v>
      </c>
      <c r="C17" s="152"/>
      <c r="D17" s="152"/>
      <c r="E17" s="152"/>
      <c r="F17" s="152"/>
      <c r="G17" s="152"/>
      <c r="H17" s="152"/>
      <c r="I17" s="152"/>
      <c r="J17" s="152"/>
      <c r="K17" s="152"/>
      <c r="L17" s="152"/>
      <c r="M17" s="152"/>
      <c r="N17" s="152"/>
      <c r="O17" s="152"/>
      <c r="P17" s="152"/>
      <c r="Q17" s="152"/>
      <c r="R17" s="152"/>
      <c r="S17" s="152"/>
      <c r="T17" s="152"/>
      <c r="U17" s="152"/>
      <c r="V17" s="152"/>
      <c r="W17" s="152"/>
      <c r="X17" s="152"/>
      <c r="Y17" s="152"/>
      <c r="Z17" s="152"/>
      <c r="AA17" s="152"/>
      <c r="AB17" s="152"/>
      <c r="AC17" s="152"/>
      <c r="DL17" s="93">
        <v>0</v>
      </c>
      <c r="IV17" s="101" t="s">
        <v>15</v>
      </c>
    </row>
    <row r="18" spans="2:256" ht="15" customHeight="1" x14ac:dyDescent="0.3">
      <c r="B18" s="156" t="s">
        <v>30</v>
      </c>
      <c r="C18" s="156"/>
      <c r="D18" s="156"/>
      <c r="E18" s="156"/>
      <c r="F18" s="156"/>
      <c r="G18" s="156"/>
      <c r="H18" s="156"/>
      <c r="I18" s="156"/>
      <c r="J18" s="156"/>
      <c r="K18" s="156"/>
      <c r="L18" s="156"/>
      <c r="M18" s="156"/>
      <c r="N18" s="156"/>
      <c r="O18" s="156"/>
      <c r="P18" s="156"/>
      <c r="Q18" s="156"/>
      <c r="R18" s="156"/>
      <c r="S18" s="156"/>
      <c r="T18" s="156"/>
      <c r="U18" s="156"/>
      <c r="V18" s="156"/>
      <c r="W18" s="156"/>
      <c r="X18" s="156"/>
      <c r="Y18" s="156"/>
      <c r="Z18" s="156"/>
      <c r="AA18" s="156"/>
      <c r="AB18" s="156"/>
      <c r="AC18" s="156"/>
      <c r="DL18" s="93">
        <v>0</v>
      </c>
      <c r="IV18" s="101" t="s">
        <v>1319</v>
      </c>
    </row>
    <row r="19" spans="2:256" ht="15" customHeight="1" x14ac:dyDescent="0.3">
      <c r="B19" s="157" t="s">
        <v>51</v>
      </c>
      <c r="C19" s="157"/>
      <c r="D19" s="157"/>
      <c r="E19" s="157"/>
      <c r="F19" s="157"/>
      <c r="G19" s="157"/>
      <c r="H19" s="157"/>
      <c r="I19" s="157"/>
      <c r="J19" s="157"/>
      <c r="K19" s="157"/>
      <c r="L19" s="157"/>
      <c r="M19" s="157"/>
      <c r="N19" s="157"/>
      <c r="O19" s="157"/>
      <c r="P19" s="157"/>
      <c r="Q19" s="157"/>
      <c r="R19" s="157"/>
      <c r="S19" s="157"/>
      <c r="T19" s="157"/>
      <c r="U19" s="157"/>
      <c r="V19" s="157"/>
      <c r="W19" s="157"/>
      <c r="X19" s="157"/>
      <c r="Y19" s="157"/>
      <c r="Z19" s="157"/>
      <c r="AA19" s="157"/>
      <c r="AB19" s="157"/>
      <c r="AC19" s="157"/>
      <c r="AD19" s="103"/>
      <c r="AE19" s="103"/>
      <c r="AF19" s="103"/>
      <c r="AG19" s="103"/>
      <c r="AH19" s="103"/>
      <c r="AI19" s="103"/>
      <c r="AJ19" s="103"/>
      <c r="AK19" s="103"/>
      <c r="AL19" s="103"/>
      <c r="AM19" s="103"/>
      <c r="AN19" s="9"/>
      <c r="AO19" s="112"/>
      <c r="AP19" s="112"/>
      <c r="AQ19" s="112"/>
      <c r="AR19" s="112"/>
      <c r="AS19" s="112"/>
      <c r="AT19" s="112"/>
      <c r="AU19" s="112"/>
      <c r="AV19" s="112"/>
      <c r="AW19" s="112"/>
      <c r="AX19" s="112"/>
      <c r="DL19" s="93">
        <v>0</v>
      </c>
      <c r="IV19" s="101" t="s">
        <v>1309</v>
      </c>
    </row>
    <row r="20" spans="2:256" ht="14.4" x14ac:dyDescent="0.3">
      <c r="C20" s="95"/>
      <c r="D20" s="95"/>
      <c r="E20" s="95"/>
      <c r="F20" s="95"/>
      <c r="G20" s="95"/>
      <c r="H20" s="124"/>
      <c r="I20" s="124"/>
      <c r="J20" s="124"/>
      <c r="K20" s="124"/>
      <c r="L20" s="124"/>
      <c r="M20" s="124"/>
      <c r="N20" s="124"/>
      <c r="P20" s="119"/>
      <c r="Q20" s="119"/>
      <c r="R20" s="119"/>
      <c r="S20" s="119"/>
      <c r="T20" s="119"/>
      <c r="Z20" s="5"/>
      <c r="AA20" s="6"/>
      <c r="AB20" s="103"/>
      <c r="AC20" s="6"/>
      <c r="AD20" s="103"/>
      <c r="AE20" s="103"/>
      <c r="AF20" s="103"/>
      <c r="AG20" s="103"/>
      <c r="AH20" s="103"/>
      <c r="AI20" s="103"/>
      <c r="AJ20" s="103"/>
      <c r="AK20" s="103"/>
      <c r="AL20" s="103"/>
      <c r="AM20" s="103"/>
      <c r="AN20" s="9"/>
      <c r="AO20" s="112"/>
      <c r="AP20" s="112"/>
      <c r="AQ20" s="112"/>
      <c r="AR20" s="112"/>
      <c r="AS20" s="112"/>
      <c r="AT20" s="112"/>
      <c r="AU20" s="112"/>
      <c r="AV20" s="112"/>
      <c r="AW20" s="112"/>
      <c r="AX20" s="112"/>
      <c r="DL20" s="93">
        <v>0</v>
      </c>
      <c r="IV20" s="101" t="s">
        <v>1320</v>
      </c>
    </row>
    <row r="21" spans="2:256" ht="15" customHeight="1" x14ac:dyDescent="0.3">
      <c r="B21" s="110" t="s">
        <v>209</v>
      </c>
      <c r="C21" s="95"/>
      <c r="D21" s="95"/>
      <c r="E21" s="95"/>
      <c r="F21" s="95"/>
      <c r="G21" s="95"/>
      <c r="H21" s="124"/>
      <c r="I21" s="124"/>
      <c r="J21" s="124"/>
      <c r="K21" s="163" t="s">
        <v>0</v>
      </c>
      <c r="L21" s="163"/>
      <c r="M21" s="163"/>
      <c r="N21" s="163"/>
      <c r="O21" s="163"/>
      <c r="P21" s="163"/>
      <c r="Q21" s="334"/>
      <c r="R21" s="119"/>
      <c r="S21" s="119"/>
      <c r="T21" s="95" t="s">
        <v>66</v>
      </c>
      <c r="U21" s="95"/>
      <c r="V21" s="149"/>
      <c r="W21" s="149"/>
      <c r="X21" s="149"/>
      <c r="Y21" s="149"/>
      <c r="Z21" s="149"/>
      <c r="AA21" s="149"/>
      <c r="AB21" s="149"/>
      <c r="AC21" s="6"/>
      <c r="AD21" s="103"/>
      <c r="AE21" s="103"/>
      <c r="AF21" s="103"/>
      <c r="AG21" s="103"/>
      <c r="AH21" s="103"/>
      <c r="AI21" s="103"/>
      <c r="AJ21" s="103"/>
      <c r="AK21" s="103"/>
      <c r="AL21" s="103"/>
      <c r="AM21" s="103"/>
      <c r="AN21" s="9"/>
      <c r="AO21" s="112"/>
      <c r="AP21" s="112"/>
      <c r="AQ21" s="112"/>
      <c r="AR21" s="112"/>
      <c r="AS21" s="112"/>
      <c r="AT21" s="112"/>
      <c r="AU21" s="112"/>
      <c r="AV21" s="112"/>
      <c r="AW21" s="112"/>
      <c r="AX21" s="112"/>
      <c r="DL21" s="93">
        <v>0</v>
      </c>
    </row>
    <row r="22" spans="2:256" x14ac:dyDescent="0.3">
      <c r="D22" s="107"/>
      <c r="E22" s="107"/>
      <c r="F22" s="107"/>
      <c r="G22" s="5"/>
      <c r="H22" s="5"/>
      <c r="I22" s="5"/>
      <c r="J22" s="107"/>
      <c r="R22" s="107"/>
      <c r="Z22" s="5"/>
      <c r="AA22" s="6"/>
      <c r="AB22" s="103"/>
      <c r="AC22" s="6"/>
      <c r="AD22" s="103"/>
      <c r="AE22" s="103"/>
      <c r="AF22" s="103"/>
      <c r="AG22" s="103"/>
      <c r="AH22" s="103"/>
      <c r="AI22" s="103"/>
      <c r="AJ22" s="103"/>
      <c r="AK22" s="103"/>
      <c r="AL22" s="103"/>
      <c r="AM22" s="103"/>
      <c r="AN22" s="9"/>
      <c r="AO22" s="112"/>
      <c r="AP22" s="112"/>
      <c r="AQ22" s="112"/>
      <c r="AR22" s="112"/>
      <c r="AS22" s="112"/>
      <c r="AT22" s="112"/>
      <c r="AU22" s="112"/>
      <c r="AV22" s="112"/>
      <c r="AW22" s="112"/>
      <c r="AX22" s="112"/>
      <c r="DL22" s="93">
        <v>0</v>
      </c>
    </row>
    <row r="23" spans="2:256" ht="15" customHeight="1" x14ac:dyDescent="0.3">
      <c r="B23" s="175" t="s">
        <v>67</v>
      </c>
      <c r="C23" s="175"/>
      <c r="D23" s="175"/>
      <c r="E23" s="175"/>
      <c r="F23" s="175"/>
      <c r="G23" s="175"/>
      <c r="H23" s="175"/>
      <c r="I23" s="175"/>
      <c r="J23" s="175"/>
      <c r="K23" s="175"/>
      <c r="L23" s="175"/>
      <c r="M23" s="175"/>
      <c r="N23" s="175"/>
      <c r="O23" s="175"/>
      <c r="P23" s="175"/>
      <c r="Q23" s="175"/>
      <c r="R23" s="175"/>
      <c r="S23" s="175"/>
      <c r="T23" s="175"/>
      <c r="U23" s="175"/>
      <c r="V23" s="175"/>
      <c r="W23" s="175"/>
      <c r="X23" s="175"/>
      <c r="Y23" s="175"/>
      <c r="Z23" s="175"/>
      <c r="AA23" s="175"/>
      <c r="AB23" s="175"/>
      <c r="AC23" s="175"/>
      <c r="AE23" s="103"/>
      <c r="AF23" s="103"/>
      <c r="AG23" s="103"/>
      <c r="AH23" s="103"/>
      <c r="AI23" s="103"/>
      <c r="AJ23" s="103"/>
      <c r="AK23" s="103"/>
      <c r="AL23" s="103"/>
      <c r="AM23" s="103"/>
      <c r="AN23" s="9"/>
      <c r="AO23" s="112"/>
      <c r="AP23" s="112"/>
      <c r="AQ23" s="112"/>
      <c r="AR23" s="112"/>
      <c r="AS23" s="112"/>
      <c r="AT23" s="112"/>
      <c r="AU23" s="112"/>
      <c r="AV23" s="112"/>
      <c r="AW23" s="112"/>
      <c r="AX23" s="112"/>
    </row>
    <row r="24" spans="2:256" x14ac:dyDescent="0.3">
      <c r="B24" s="299"/>
      <c r="C24" s="299"/>
      <c r="D24" s="5"/>
      <c r="E24" s="5"/>
      <c r="F24" s="5"/>
      <c r="G24" s="5"/>
      <c r="H24" s="5"/>
      <c r="I24" s="5"/>
      <c r="J24" s="124"/>
      <c r="K24" s="124"/>
      <c r="L24" s="124"/>
      <c r="M24" s="124"/>
      <c r="N24" s="124"/>
      <c r="O24" s="124"/>
      <c r="P24" s="124"/>
      <c r="Q24" s="107"/>
      <c r="R24" s="107"/>
      <c r="Z24" s="5"/>
      <c r="AA24" s="6"/>
      <c r="AB24" s="103"/>
      <c r="AC24" s="6"/>
      <c r="AD24" s="103"/>
      <c r="AE24" s="103"/>
      <c r="AF24" s="103"/>
      <c r="AG24" s="103"/>
      <c r="AH24" s="103"/>
      <c r="AI24" s="103"/>
      <c r="AJ24" s="103"/>
      <c r="AK24" s="103"/>
      <c r="AL24" s="103"/>
      <c r="AM24" s="103"/>
      <c r="AN24" s="9"/>
      <c r="AO24" s="112"/>
      <c r="AP24" s="112"/>
      <c r="AQ24" s="112"/>
      <c r="AR24" s="112"/>
      <c r="AS24" s="112"/>
      <c r="AT24" s="112"/>
      <c r="AU24" s="112"/>
      <c r="AV24" s="112"/>
      <c r="AW24" s="112"/>
      <c r="AX24" s="112"/>
    </row>
    <row r="25" spans="2:256" ht="15" customHeight="1" x14ac:dyDescent="0.3">
      <c r="B25" s="299" t="s">
        <v>68</v>
      </c>
      <c r="C25" s="299"/>
      <c r="D25" s="299"/>
      <c r="E25" s="299"/>
      <c r="F25" s="299"/>
      <c r="G25" s="5"/>
      <c r="H25" s="5"/>
      <c r="I25" s="5"/>
      <c r="J25" s="149"/>
      <c r="K25" s="149"/>
      <c r="L25" s="149"/>
      <c r="M25" s="149"/>
      <c r="N25" s="149"/>
      <c r="O25" s="149"/>
      <c r="P25" s="149"/>
      <c r="Q25" s="149"/>
      <c r="R25" s="149"/>
      <c r="S25" s="149"/>
      <c r="T25" s="149"/>
      <c r="U25" s="149"/>
      <c r="V25" s="149"/>
      <c r="W25" s="149"/>
      <c r="Z25" s="5"/>
      <c r="AA25" s="6"/>
      <c r="AB25" s="103"/>
      <c r="AC25" s="6"/>
      <c r="AD25" s="103"/>
      <c r="AE25" s="103"/>
      <c r="AF25" s="103"/>
      <c r="AG25" s="103"/>
      <c r="AH25" s="103"/>
      <c r="AI25" s="103"/>
      <c r="AJ25" s="103"/>
      <c r="AK25" s="103"/>
      <c r="AL25" s="103"/>
      <c r="AM25" s="103"/>
      <c r="AN25" s="9"/>
      <c r="AO25" s="112"/>
      <c r="AP25" s="112"/>
      <c r="AQ25" s="112"/>
      <c r="AR25" s="112"/>
      <c r="AS25" s="112"/>
      <c r="AT25" s="112"/>
      <c r="AU25" s="112"/>
      <c r="AV25" s="112"/>
      <c r="AW25" s="112"/>
      <c r="AX25" s="112"/>
    </row>
    <row r="26" spans="2:256" x14ac:dyDescent="0.3">
      <c r="D26" s="107"/>
      <c r="E26" s="107"/>
      <c r="F26" s="107"/>
      <c r="G26" s="5"/>
      <c r="H26" s="5"/>
      <c r="I26" s="5"/>
      <c r="J26" s="107"/>
      <c r="K26" s="124"/>
      <c r="L26" s="124"/>
      <c r="M26" s="124"/>
      <c r="N26" s="124"/>
      <c r="O26" s="124"/>
      <c r="P26" s="124"/>
      <c r="Q26" s="107"/>
      <c r="R26" s="107"/>
      <c r="Z26" s="5"/>
      <c r="AA26" s="6"/>
      <c r="AB26" s="103"/>
      <c r="AC26" s="6"/>
      <c r="AD26" s="103"/>
      <c r="AE26" s="103"/>
      <c r="AF26" s="103"/>
      <c r="AG26" s="103"/>
      <c r="AH26" s="103"/>
      <c r="AI26" s="103"/>
      <c r="AJ26" s="103"/>
      <c r="AK26" s="103"/>
      <c r="AL26" s="103"/>
      <c r="AM26" s="103"/>
      <c r="AN26" s="9"/>
      <c r="AO26" s="112"/>
      <c r="AP26" s="112"/>
      <c r="AQ26" s="112"/>
      <c r="AR26" s="112"/>
      <c r="AS26" s="112"/>
      <c r="AT26" s="112"/>
      <c r="AU26" s="112"/>
      <c r="AV26" s="112"/>
      <c r="AW26" s="112"/>
      <c r="AX26" s="112"/>
    </row>
    <row r="27" spans="2:256" ht="15" customHeight="1" x14ac:dyDescent="0.3">
      <c r="B27" s="93" t="s">
        <v>69</v>
      </c>
      <c r="D27" s="107"/>
      <c r="E27" s="107"/>
      <c r="F27" s="107"/>
      <c r="G27" s="5"/>
      <c r="H27" s="5"/>
      <c r="I27" s="5"/>
      <c r="J27" s="107"/>
      <c r="Q27" s="107"/>
      <c r="R27" s="107"/>
      <c r="Z27" s="5"/>
      <c r="AA27" s="6"/>
      <c r="AB27" s="103"/>
      <c r="AC27" s="6"/>
      <c r="AD27" s="103"/>
      <c r="AE27" s="103"/>
      <c r="AF27" s="103"/>
      <c r="AG27" s="103"/>
      <c r="AH27" s="103"/>
      <c r="AI27" s="103"/>
      <c r="AJ27" s="103"/>
      <c r="AK27" s="103"/>
      <c r="AL27" s="103"/>
      <c r="AM27" s="103"/>
      <c r="AN27" s="9"/>
      <c r="AO27" s="112"/>
      <c r="AP27" s="112"/>
      <c r="AQ27" s="112"/>
      <c r="AR27" s="112"/>
      <c r="AS27" s="112"/>
      <c r="AT27" s="112"/>
      <c r="AU27" s="112"/>
      <c r="AV27" s="112"/>
      <c r="AW27" s="112"/>
      <c r="AX27" s="112"/>
    </row>
    <row r="28" spans="2:256" ht="11.25" customHeight="1" x14ac:dyDescent="0.3">
      <c r="D28" s="107"/>
      <c r="E28" s="107"/>
      <c r="F28" s="107"/>
      <c r="G28" s="5"/>
      <c r="H28" s="5"/>
      <c r="I28" s="5"/>
      <c r="J28" s="107"/>
      <c r="R28" s="107"/>
      <c r="Z28" s="5"/>
      <c r="AA28" s="6"/>
      <c r="AB28" s="103"/>
      <c r="AC28" s="6"/>
      <c r="AD28" s="103"/>
      <c r="AE28" s="103"/>
      <c r="AF28" s="103"/>
      <c r="AG28" s="103"/>
      <c r="AH28" s="103"/>
      <c r="AI28" s="103"/>
      <c r="AJ28" s="103"/>
      <c r="AK28" s="103"/>
      <c r="AL28" s="103"/>
      <c r="AM28" s="103"/>
      <c r="AN28" s="9"/>
      <c r="AO28" s="112"/>
      <c r="AP28" s="112"/>
      <c r="AQ28" s="112"/>
      <c r="AR28" s="112"/>
      <c r="AS28" s="112"/>
      <c r="AT28" s="112"/>
      <c r="AU28" s="112"/>
      <c r="AV28" s="112"/>
      <c r="AW28" s="112"/>
      <c r="AX28" s="112"/>
    </row>
    <row r="29" spans="2:256" ht="15" customHeight="1" x14ac:dyDescent="0.3">
      <c r="B29" s="299" t="s">
        <v>68</v>
      </c>
      <c r="C29" s="299"/>
      <c r="D29" s="299"/>
      <c r="E29" s="299"/>
      <c r="F29" s="299"/>
      <c r="G29" s="5"/>
      <c r="H29" s="5"/>
      <c r="I29" s="5"/>
      <c r="J29" s="149"/>
      <c r="K29" s="149"/>
      <c r="L29" s="149"/>
      <c r="M29" s="149"/>
      <c r="N29" s="149"/>
      <c r="O29" s="149"/>
      <c r="P29" s="149"/>
      <c r="Q29" s="149"/>
      <c r="R29" s="149"/>
      <c r="S29" s="149"/>
      <c r="T29" s="149"/>
      <c r="U29" s="149"/>
      <c r="V29" s="149"/>
      <c r="W29" s="149"/>
      <c r="Z29" s="5"/>
      <c r="AA29" s="6"/>
      <c r="AB29" s="103"/>
      <c r="AC29" s="6"/>
      <c r="AD29" s="103"/>
      <c r="AE29" s="103"/>
      <c r="AF29" s="103"/>
      <c r="AG29" s="103"/>
      <c r="AH29" s="103"/>
      <c r="AI29" s="103"/>
      <c r="AJ29" s="103"/>
      <c r="AK29" s="103"/>
      <c r="AL29" s="103"/>
      <c r="AM29" s="103"/>
      <c r="AN29" s="9"/>
      <c r="AO29" s="112"/>
      <c r="AP29" s="112"/>
      <c r="AQ29" s="112"/>
      <c r="AR29" s="112"/>
      <c r="AS29" s="112"/>
      <c r="AT29" s="112"/>
      <c r="AU29" s="112"/>
      <c r="AV29" s="112"/>
      <c r="AW29" s="112"/>
      <c r="AX29" s="112"/>
    </row>
    <row r="30" spans="2:256" ht="6" customHeight="1" x14ac:dyDescent="0.3">
      <c r="D30" s="107"/>
      <c r="E30" s="107"/>
      <c r="F30" s="107"/>
      <c r="G30" s="5"/>
      <c r="H30" s="5"/>
      <c r="I30" s="5"/>
      <c r="J30" s="124"/>
      <c r="K30" s="124"/>
      <c r="L30" s="124"/>
      <c r="M30" s="124"/>
      <c r="N30" s="124"/>
      <c r="O30" s="124"/>
      <c r="P30" s="124"/>
      <c r="R30" s="107"/>
      <c r="Z30" s="5"/>
      <c r="AA30" s="6"/>
      <c r="AB30" s="103"/>
      <c r="AC30" s="6"/>
      <c r="AD30" s="103"/>
      <c r="AE30" s="103"/>
      <c r="AF30" s="103"/>
      <c r="AG30" s="103"/>
      <c r="AH30" s="103"/>
      <c r="AI30" s="103"/>
      <c r="AJ30" s="103"/>
      <c r="AK30" s="103"/>
      <c r="AL30" s="103"/>
      <c r="AM30" s="103"/>
      <c r="AN30" s="9"/>
      <c r="AO30" s="112"/>
      <c r="AP30" s="112"/>
      <c r="AQ30" s="112"/>
      <c r="AR30" s="112"/>
      <c r="AS30" s="112"/>
      <c r="AT30" s="112"/>
      <c r="AU30" s="112"/>
      <c r="AV30" s="112"/>
      <c r="AW30" s="112"/>
      <c r="AX30" s="112"/>
    </row>
    <row r="31" spans="2:256" ht="6" customHeight="1" x14ac:dyDescent="0.3">
      <c r="D31" s="107"/>
      <c r="E31" s="107"/>
      <c r="F31" s="107"/>
      <c r="G31" s="5"/>
      <c r="H31" s="5"/>
      <c r="I31" s="5"/>
      <c r="J31" s="107"/>
      <c r="R31" s="107"/>
      <c r="Z31" s="5"/>
      <c r="AA31" s="6"/>
      <c r="AB31" s="103"/>
      <c r="AC31" s="6"/>
      <c r="AD31" s="103"/>
      <c r="AE31" s="103"/>
      <c r="AF31" s="103"/>
      <c r="AG31" s="103"/>
      <c r="AH31" s="103"/>
      <c r="AI31" s="103"/>
      <c r="AJ31" s="103"/>
      <c r="AK31" s="103"/>
      <c r="AL31" s="103"/>
      <c r="AM31" s="103"/>
      <c r="AN31" s="9"/>
      <c r="AO31" s="112"/>
      <c r="AP31" s="112"/>
      <c r="AQ31" s="112"/>
      <c r="AR31" s="112"/>
      <c r="AS31" s="112"/>
      <c r="AT31" s="112"/>
      <c r="AU31" s="112"/>
      <c r="AV31" s="112"/>
      <c r="AW31" s="112"/>
      <c r="AX31" s="112"/>
    </row>
    <row r="32" spans="2:256" ht="15" customHeight="1" x14ac:dyDescent="0.3">
      <c r="B32" s="154" t="s">
        <v>70</v>
      </c>
      <c r="C32" s="154"/>
      <c r="D32" s="154"/>
      <c r="E32" s="154"/>
      <c r="F32" s="154"/>
      <c r="G32" s="154"/>
      <c r="H32" s="154"/>
      <c r="I32" s="154"/>
      <c r="J32" s="154"/>
      <c r="K32" s="154"/>
      <c r="L32" s="154"/>
      <c r="M32" s="154"/>
      <c r="N32" s="154"/>
      <c r="O32" s="154"/>
      <c r="P32" s="154"/>
      <c r="Q32" s="154"/>
      <c r="R32" s="154"/>
      <c r="S32" s="154"/>
      <c r="T32" s="154"/>
      <c r="U32" s="154"/>
      <c r="V32" s="154"/>
      <c r="W32" s="154"/>
      <c r="X32" s="154"/>
      <c r="Y32" s="154"/>
      <c r="Z32" s="154"/>
      <c r="AA32" s="154"/>
      <c r="AB32" s="154"/>
      <c r="AC32" s="154"/>
      <c r="AD32" s="103"/>
      <c r="AE32" s="103"/>
      <c r="AF32" s="103"/>
      <c r="AG32" s="103"/>
      <c r="AH32" s="103"/>
      <c r="AI32" s="103"/>
      <c r="AJ32" s="103"/>
      <c r="AK32" s="103"/>
      <c r="AL32" s="103"/>
      <c r="AM32" s="103"/>
      <c r="AN32" s="112"/>
      <c r="AO32" s="112"/>
      <c r="AP32" s="112"/>
      <c r="AQ32" s="112"/>
      <c r="AR32" s="112"/>
      <c r="AS32" s="112"/>
      <c r="AT32" s="112"/>
      <c r="AU32" s="112"/>
      <c r="AV32" s="112"/>
      <c r="AW32" s="112"/>
      <c r="AX32" s="112"/>
    </row>
    <row r="33" spans="2:50" s="103" customFormat="1" ht="6" customHeight="1" x14ac:dyDescent="0.3">
      <c r="B33" s="174"/>
      <c r="C33" s="174"/>
      <c r="D33" s="174"/>
      <c r="E33" s="174"/>
      <c r="F33" s="174"/>
      <c r="G33" s="174"/>
      <c r="H33" s="174"/>
      <c r="I33" s="174"/>
      <c r="J33" s="174"/>
      <c r="K33" s="174"/>
      <c r="L33" s="174"/>
      <c r="M33" s="174"/>
      <c r="N33" s="174"/>
      <c r="O33" s="174"/>
      <c r="P33" s="174"/>
      <c r="Q33" s="174"/>
      <c r="R33" s="174"/>
      <c r="S33" s="174"/>
      <c r="T33" s="174"/>
      <c r="U33" s="174"/>
      <c r="V33" s="174"/>
      <c r="W33" s="174"/>
      <c r="X33" s="174"/>
      <c r="Y33" s="174"/>
      <c r="Z33" s="174"/>
      <c r="AA33" s="174"/>
      <c r="AB33" s="174"/>
      <c r="AC33" s="174"/>
      <c r="AN33" s="112"/>
      <c r="AO33" s="112"/>
      <c r="AP33" s="112"/>
      <c r="AQ33" s="112"/>
      <c r="AR33" s="112"/>
      <c r="AS33" s="112"/>
      <c r="AT33" s="112"/>
      <c r="AU33" s="112"/>
      <c r="AV33" s="112"/>
      <c r="AW33" s="112"/>
      <c r="AX33" s="112"/>
    </row>
    <row r="34" spans="2:50" s="103" customFormat="1" ht="22.5" customHeight="1" x14ac:dyDescent="0.3">
      <c r="B34" s="156" t="s">
        <v>71</v>
      </c>
      <c r="C34" s="156"/>
      <c r="D34" s="156"/>
      <c r="E34" s="156"/>
      <c r="F34" s="156"/>
      <c r="G34" s="156"/>
      <c r="H34" s="156"/>
      <c r="I34" s="156"/>
      <c r="J34" s="156"/>
      <c r="K34" s="156"/>
      <c r="L34" s="156"/>
      <c r="M34" s="156"/>
      <c r="N34" s="156"/>
      <c r="O34" s="156"/>
      <c r="P34" s="156"/>
      <c r="Q34" s="156"/>
      <c r="R34" s="156"/>
      <c r="S34" s="156"/>
      <c r="T34" s="156"/>
      <c r="U34" s="156"/>
      <c r="V34" s="156"/>
      <c r="W34" s="156"/>
      <c r="X34" s="156"/>
      <c r="Y34" s="156"/>
      <c r="Z34" s="156"/>
      <c r="AA34" s="156"/>
      <c r="AB34" s="156"/>
      <c r="AC34" s="156"/>
      <c r="AN34" s="112"/>
      <c r="AO34" s="112"/>
      <c r="AP34" s="112"/>
      <c r="AQ34" s="112"/>
      <c r="AR34" s="112"/>
      <c r="AS34" s="112"/>
      <c r="AT34" s="112"/>
      <c r="AU34" s="112"/>
      <c r="AV34" s="112"/>
      <c r="AW34" s="112"/>
      <c r="AX34" s="112"/>
    </row>
    <row r="35" spans="2:50" ht="3.75" customHeight="1" x14ac:dyDescent="0.3">
      <c r="B35" s="95"/>
      <c r="C35" s="95"/>
      <c r="D35" s="95"/>
      <c r="E35" s="95"/>
      <c r="F35" s="95"/>
      <c r="G35" s="95"/>
      <c r="H35" s="95"/>
      <c r="I35" s="95"/>
      <c r="J35" s="95"/>
      <c r="K35" s="95"/>
      <c r="L35" s="95"/>
      <c r="M35" s="95"/>
      <c r="N35" s="95"/>
      <c r="O35" s="95"/>
      <c r="P35" s="95"/>
      <c r="Q35" s="95"/>
      <c r="R35" s="95"/>
      <c r="S35" s="95"/>
      <c r="T35" s="95"/>
      <c r="U35" s="95"/>
      <c r="V35" s="95"/>
      <c r="W35" s="95"/>
      <c r="X35" s="95"/>
      <c r="Y35" s="95"/>
      <c r="Z35" s="95"/>
      <c r="AA35" s="120"/>
      <c r="AB35" s="120"/>
      <c r="AC35" s="103"/>
      <c r="AD35" s="103"/>
      <c r="AM35" s="103"/>
      <c r="AN35" s="112"/>
      <c r="AO35" s="112"/>
      <c r="AP35" s="112"/>
      <c r="AQ35" s="112"/>
      <c r="AR35" s="112"/>
      <c r="AS35" s="112"/>
      <c r="AT35" s="112"/>
      <c r="AU35" s="112"/>
      <c r="AV35" s="112"/>
      <c r="AW35" s="112"/>
      <c r="AX35" s="112"/>
    </row>
    <row r="36" spans="2:50" ht="24.75" customHeight="1" x14ac:dyDescent="0.3">
      <c r="B36" s="153" t="s">
        <v>32</v>
      </c>
      <c r="C36" s="153"/>
      <c r="D36" s="95"/>
      <c r="E36" s="95"/>
      <c r="F36" s="95"/>
      <c r="G36" s="95"/>
      <c r="I36" s="153" t="s">
        <v>33</v>
      </c>
      <c r="J36" s="153"/>
      <c r="K36" s="153"/>
      <c r="L36" s="153"/>
      <c r="M36" s="153"/>
      <c r="N36" s="153"/>
      <c r="O36" s="153"/>
      <c r="P36" s="343"/>
      <c r="Q36" s="311" t="s">
        <v>72</v>
      </c>
      <c r="R36" s="311"/>
      <c r="S36" s="311"/>
      <c r="T36" s="311"/>
      <c r="U36" s="311"/>
      <c r="V36" s="369"/>
      <c r="W36" s="311" t="s">
        <v>73</v>
      </c>
      <c r="X36" s="311"/>
      <c r="Y36" s="311"/>
      <c r="Z36" s="311"/>
      <c r="AA36" s="311"/>
      <c r="AP36" s="312"/>
      <c r="AQ36" s="112"/>
      <c r="AR36" s="112"/>
      <c r="AS36" s="112"/>
      <c r="AT36" s="112"/>
      <c r="AU36" s="112"/>
      <c r="AV36" s="112"/>
      <c r="AW36" s="112"/>
      <c r="AX36" s="112"/>
    </row>
    <row r="37" spans="2:50" ht="15" customHeight="1" x14ac:dyDescent="0.3">
      <c r="B37" s="157" t="s">
        <v>215</v>
      </c>
      <c r="C37" s="157"/>
      <c r="D37" s="157"/>
      <c r="E37" s="157"/>
      <c r="F37" s="157"/>
      <c r="G37" s="157"/>
      <c r="H37" s="157"/>
      <c r="I37" s="346"/>
      <c r="J37" s="346"/>
      <c r="K37" s="346"/>
      <c r="L37" s="346"/>
      <c r="M37" s="346"/>
      <c r="N37" s="346"/>
      <c r="O37" s="346"/>
      <c r="P37" s="334"/>
      <c r="Q37" s="334"/>
      <c r="R37" s="306" t="s">
        <v>74</v>
      </c>
      <c r="S37" s="306"/>
      <c r="T37" s="306"/>
      <c r="U37" s="348"/>
      <c r="V37" s="334"/>
      <c r="W37" s="334"/>
      <c r="X37" s="306" t="s">
        <v>14</v>
      </c>
      <c r="Y37" s="306"/>
      <c r="Z37" s="306"/>
      <c r="AA37" s="348"/>
      <c r="AB37" s="93"/>
      <c r="AP37" s="112"/>
      <c r="AQ37" s="112"/>
      <c r="AR37" s="112"/>
      <c r="AS37" s="112"/>
      <c r="AT37" s="112"/>
      <c r="AU37" s="112"/>
      <c r="AV37" s="112"/>
      <c r="AW37" s="112"/>
      <c r="AX37" s="112"/>
    </row>
    <row r="38" spans="2:50" ht="15" customHeight="1" x14ac:dyDescent="0.3">
      <c r="B38" s="157" t="s">
        <v>222</v>
      </c>
      <c r="C38" s="157"/>
      <c r="D38" s="157"/>
      <c r="E38" s="157"/>
      <c r="F38" s="157"/>
      <c r="G38" s="157"/>
      <c r="H38" s="157"/>
      <c r="I38" s="346"/>
      <c r="J38" s="346"/>
      <c r="K38" s="346"/>
      <c r="L38" s="346"/>
      <c r="M38" s="346"/>
      <c r="N38" s="346"/>
      <c r="O38" s="346"/>
      <c r="P38" s="334"/>
      <c r="Q38" s="334"/>
      <c r="R38" s="308" t="s">
        <v>0</v>
      </c>
      <c r="S38" s="308"/>
      <c r="T38" s="308"/>
      <c r="U38" s="348"/>
      <c r="V38" s="334"/>
      <c r="W38" s="334"/>
      <c r="X38" s="306" t="s">
        <v>14</v>
      </c>
      <c r="Y38" s="306"/>
      <c r="Z38" s="306"/>
      <c r="AA38" s="348"/>
      <c r="AB38" s="93"/>
      <c r="AP38" s="112"/>
      <c r="AQ38" s="112"/>
      <c r="AR38" s="112"/>
      <c r="AS38" s="112"/>
      <c r="AT38" s="112"/>
      <c r="AU38" s="112"/>
      <c r="AV38" s="112"/>
      <c r="AW38" s="112"/>
      <c r="AX38" s="112"/>
    </row>
    <row r="39" spans="2:50" ht="15" customHeight="1" x14ac:dyDescent="0.3">
      <c r="B39" s="157" t="s">
        <v>194</v>
      </c>
      <c r="C39" s="157"/>
      <c r="D39" s="157"/>
      <c r="E39" s="157"/>
      <c r="F39" s="157"/>
      <c r="G39" s="157"/>
      <c r="H39" s="157"/>
      <c r="I39" s="346"/>
      <c r="J39" s="346"/>
      <c r="K39" s="346"/>
      <c r="L39" s="346"/>
      <c r="M39" s="346"/>
      <c r="N39" s="346"/>
      <c r="O39" s="346"/>
      <c r="R39" s="306" t="s">
        <v>74</v>
      </c>
      <c r="S39" s="306"/>
      <c r="T39" s="306"/>
      <c r="U39" s="348"/>
      <c r="V39" s="334"/>
      <c r="W39" s="334"/>
      <c r="X39" s="306" t="s">
        <v>14</v>
      </c>
      <c r="Y39" s="306"/>
      <c r="Z39" s="306"/>
      <c r="AA39" s="348"/>
      <c r="AB39" s="93"/>
      <c r="AP39" s="112"/>
      <c r="AQ39" s="8"/>
      <c r="AR39" s="8"/>
      <c r="AS39" s="8"/>
      <c r="AT39" s="8"/>
      <c r="AU39" s="8"/>
      <c r="AV39" s="8"/>
      <c r="AW39" s="8"/>
      <c r="AX39" s="8"/>
    </row>
    <row r="40" spans="2:50" ht="15" customHeight="1" x14ac:dyDescent="0.3">
      <c r="B40" s="157" t="s">
        <v>219</v>
      </c>
      <c r="C40" s="157"/>
      <c r="D40" s="157"/>
      <c r="E40" s="157"/>
      <c r="F40" s="157"/>
      <c r="G40" s="157"/>
      <c r="H40" s="157"/>
      <c r="I40" s="346"/>
      <c r="J40" s="346"/>
      <c r="K40" s="346"/>
      <c r="L40" s="346"/>
      <c r="M40" s="346"/>
      <c r="N40" s="346"/>
      <c r="O40" s="346"/>
      <c r="R40" s="306" t="s">
        <v>74</v>
      </c>
      <c r="S40" s="306"/>
      <c r="T40" s="306"/>
      <c r="U40" s="348"/>
      <c r="V40" s="334"/>
      <c r="W40" s="334"/>
      <c r="X40" s="306" t="s">
        <v>14</v>
      </c>
      <c r="Y40" s="306"/>
      <c r="Z40" s="306"/>
      <c r="AA40" s="348"/>
      <c r="AB40" s="370"/>
      <c r="AC40" s="294"/>
      <c r="AE40" s="119"/>
      <c r="AM40" s="103"/>
      <c r="AN40" s="112"/>
      <c r="AO40" s="112"/>
      <c r="AP40" s="112"/>
      <c r="AQ40" s="8"/>
      <c r="AR40" s="8"/>
      <c r="AS40" s="8"/>
      <c r="AT40" s="8"/>
      <c r="AU40" s="8"/>
      <c r="AV40" s="8"/>
      <c r="AW40" s="8"/>
      <c r="AX40" s="8"/>
    </row>
    <row r="41" spans="2:50" ht="15" customHeight="1" x14ac:dyDescent="0.3">
      <c r="B41" s="157" t="s">
        <v>221</v>
      </c>
      <c r="C41" s="157"/>
      <c r="D41" s="157"/>
      <c r="E41" s="157"/>
      <c r="F41" s="157"/>
      <c r="G41" s="157"/>
      <c r="H41" s="157"/>
      <c r="I41" s="346"/>
      <c r="J41" s="346"/>
      <c r="K41" s="346"/>
      <c r="L41" s="346"/>
      <c r="M41" s="346"/>
      <c r="N41" s="346"/>
      <c r="O41" s="346"/>
      <c r="R41" s="308" t="s">
        <v>0</v>
      </c>
      <c r="S41" s="308"/>
      <c r="T41" s="308"/>
      <c r="U41" s="348"/>
      <c r="V41" s="334"/>
      <c r="W41" s="334"/>
      <c r="X41" s="306" t="s">
        <v>14</v>
      </c>
      <c r="Y41" s="306"/>
      <c r="Z41" s="306"/>
      <c r="AA41" s="348"/>
      <c r="AB41" s="370"/>
      <c r="AC41" s="294"/>
      <c r="AE41" s="119"/>
      <c r="AM41" s="103"/>
      <c r="AN41" s="112"/>
      <c r="AO41" s="112"/>
      <c r="AP41" s="112"/>
      <c r="AQ41" s="8"/>
      <c r="AR41" s="8"/>
      <c r="AS41" s="8"/>
      <c r="AT41" s="8"/>
      <c r="AU41" s="8"/>
      <c r="AV41" s="8"/>
      <c r="AW41" s="8"/>
      <c r="AX41" s="8"/>
    </row>
    <row r="42" spans="2:50" ht="15" customHeight="1" x14ac:dyDescent="0.3">
      <c r="B42" s="157" t="s">
        <v>191</v>
      </c>
      <c r="C42" s="157"/>
      <c r="D42" s="157"/>
      <c r="E42" s="157"/>
      <c r="F42" s="157"/>
      <c r="G42" s="157"/>
      <c r="H42" s="157"/>
      <c r="I42" s="346"/>
      <c r="J42" s="346"/>
      <c r="K42" s="346"/>
      <c r="L42" s="346"/>
      <c r="M42" s="346"/>
      <c r="N42" s="346"/>
      <c r="O42" s="346"/>
      <c r="R42" s="308" t="s">
        <v>0</v>
      </c>
      <c r="S42" s="308"/>
      <c r="T42" s="308"/>
      <c r="U42" s="348"/>
      <c r="V42" s="334"/>
      <c r="W42" s="334"/>
      <c r="X42" s="306" t="s">
        <v>14</v>
      </c>
      <c r="Y42" s="306"/>
      <c r="Z42" s="306"/>
      <c r="AA42" s="348"/>
      <c r="AB42" s="120"/>
      <c r="AC42" s="103"/>
      <c r="AD42" s="103"/>
      <c r="AE42" s="103"/>
      <c r="AF42" s="103"/>
      <c r="AG42" s="103"/>
      <c r="AH42" s="103"/>
      <c r="AI42" s="103"/>
      <c r="AJ42" s="103"/>
      <c r="AK42" s="103"/>
      <c r="AL42" s="103"/>
      <c r="AM42" s="103"/>
      <c r="AN42" s="8"/>
      <c r="AO42" s="8"/>
      <c r="AP42" s="8"/>
      <c r="AQ42" s="8"/>
      <c r="AR42" s="8"/>
      <c r="AS42" s="8"/>
      <c r="AT42" s="8"/>
      <c r="AU42" s="8"/>
      <c r="AV42" s="8"/>
      <c r="AW42" s="8"/>
      <c r="AX42" s="8"/>
    </row>
    <row r="43" spans="2:50" ht="15" customHeight="1" x14ac:dyDescent="0.3">
      <c r="B43" s="157" t="s">
        <v>216</v>
      </c>
      <c r="C43" s="157"/>
      <c r="D43" s="157"/>
      <c r="E43" s="157"/>
      <c r="F43" s="157"/>
      <c r="G43" s="157"/>
      <c r="H43" s="157"/>
      <c r="I43" s="371"/>
      <c r="J43" s="371"/>
      <c r="K43" s="371"/>
      <c r="L43" s="371"/>
      <c r="M43" s="371"/>
      <c r="N43" s="371"/>
      <c r="O43" s="371"/>
      <c r="P43" s="334"/>
      <c r="Q43" s="334"/>
      <c r="R43" s="372" t="s">
        <v>0</v>
      </c>
      <c r="S43" s="372"/>
      <c r="T43" s="372"/>
      <c r="U43" s="348"/>
      <c r="V43" s="334"/>
      <c r="W43" s="334"/>
      <c r="X43" s="304" t="s">
        <v>14</v>
      </c>
      <c r="Y43" s="304"/>
      <c r="Z43" s="304"/>
      <c r="AA43" s="348"/>
      <c r="AB43" s="120"/>
      <c r="AC43" s="144"/>
      <c r="AD43" s="103"/>
      <c r="AE43" s="119"/>
      <c r="AF43" s="103"/>
      <c r="AG43" s="103"/>
      <c r="AH43" s="103"/>
      <c r="AI43" s="103"/>
      <c r="AJ43" s="103"/>
      <c r="AK43" s="103"/>
      <c r="AL43" s="103"/>
      <c r="AM43" s="103"/>
      <c r="AN43" s="8"/>
      <c r="AO43" s="8"/>
      <c r="AP43" s="8"/>
      <c r="AQ43" s="8"/>
      <c r="AR43" s="8"/>
      <c r="AS43" s="8"/>
      <c r="AT43" s="8"/>
      <c r="AU43" s="8"/>
      <c r="AV43" s="8"/>
      <c r="AW43" s="8"/>
      <c r="AX43" s="8"/>
    </row>
    <row r="44" spans="2:50" s="103" customFormat="1" ht="15" customHeight="1" x14ac:dyDescent="0.3">
      <c r="B44" s="143"/>
      <c r="C44" s="143"/>
      <c r="D44" s="143"/>
      <c r="E44" s="143"/>
      <c r="F44" s="143"/>
      <c r="G44" s="143"/>
      <c r="H44" s="143"/>
      <c r="I44" s="373"/>
      <c r="J44" s="373"/>
      <c r="K44" s="373"/>
      <c r="L44" s="373"/>
      <c r="M44" s="373"/>
      <c r="N44" s="373"/>
      <c r="O44" s="373"/>
      <c r="P44" s="352"/>
      <c r="Q44" s="352"/>
      <c r="R44" s="374"/>
      <c r="S44" s="374"/>
      <c r="T44" s="374"/>
      <c r="U44" s="347"/>
      <c r="V44" s="352"/>
      <c r="W44" s="352"/>
      <c r="X44" s="374"/>
      <c r="Y44" s="374"/>
      <c r="Z44" s="374"/>
      <c r="AA44" s="347"/>
      <c r="AB44" s="120"/>
      <c r="AC44" s="144"/>
      <c r="AE44" s="374"/>
      <c r="AN44" s="8"/>
      <c r="AO44" s="8"/>
      <c r="AP44" s="8"/>
      <c r="AQ44" s="8"/>
      <c r="AR44" s="8"/>
      <c r="AS44" s="8"/>
      <c r="AT44" s="8"/>
      <c r="AU44" s="8"/>
      <c r="AV44" s="8"/>
      <c r="AW44" s="8"/>
      <c r="AX44" s="8"/>
    </row>
    <row r="45" spans="2:50" s="103" customFormat="1" ht="15" customHeight="1" x14ac:dyDescent="0.3">
      <c r="B45" s="157" t="s">
        <v>1341</v>
      </c>
      <c r="C45" s="157"/>
      <c r="D45" s="157"/>
      <c r="E45" s="157"/>
      <c r="F45" s="113" t="s">
        <v>36</v>
      </c>
      <c r="G45" s="143"/>
      <c r="H45" s="143"/>
      <c r="I45" s="373"/>
      <c r="J45" s="373"/>
      <c r="K45" s="373"/>
      <c r="L45" s="373"/>
      <c r="M45" s="373"/>
      <c r="N45" s="373"/>
      <c r="O45" s="373"/>
      <c r="P45" s="352"/>
      <c r="Q45" s="352"/>
      <c r="R45" s="374"/>
      <c r="S45" s="374"/>
      <c r="T45" s="374"/>
      <c r="U45" s="347"/>
      <c r="V45" s="352"/>
      <c r="W45" s="352"/>
      <c r="X45" s="374"/>
      <c r="Y45" s="374"/>
      <c r="Z45" s="374"/>
      <c r="AA45" s="347"/>
      <c r="AB45" s="120"/>
      <c r="AC45" s="144"/>
      <c r="AE45" s="374"/>
      <c r="AN45" s="8"/>
      <c r="AO45" s="8"/>
      <c r="AP45" s="8"/>
      <c r="AQ45" s="8"/>
      <c r="AR45" s="8"/>
      <c r="AS45" s="8"/>
      <c r="AT45" s="8"/>
      <c r="AU45" s="8"/>
      <c r="AV45" s="8"/>
      <c r="AW45" s="8"/>
      <c r="AX45" s="8"/>
    </row>
    <row r="46" spans="2:50" s="103" customFormat="1" ht="15" customHeight="1" x14ac:dyDescent="0.3">
      <c r="B46" s="117"/>
      <c r="C46" s="117"/>
      <c r="D46" s="117"/>
      <c r="E46" s="117"/>
      <c r="F46" s="117"/>
      <c r="G46" s="117"/>
      <c r="H46" s="117"/>
      <c r="I46" s="373"/>
      <c r="J46" s="373"/>
      <c r="K46" s="373"/>
      <c r="L46" s="373"/>
      <c r="M46" s="373"/>
      <c r="N46" s="373"/>
      <c r="O46" s="373"/>
      <c r="P46" s="352"/>
      <c r="Q46" s="352"/>
      <c r="R46" s="374"/>
      <c r="S46" s="374"/>
      <c r="T46" s="374"/>
      <c r="U46" s="347"/>
      <c r="V46" s="352"/>
      <c r="W46" s="352"/>
      <c r="X46" s="374"/>
      <c r="Y46" s="374"/>
      <c r="Z46" s="374"/>
      <c r="AA46" s="347"/>
      <c r="AB46" s="120"/>
      <c r="AC46" s="144"/>
      <c r="AE46" s="374"/>
      <c r="AN46" s="8"/>
      <c r="AO46" s="8"/>
      <c r="AP46" s="8"/>
      <c r="AQ46" s="8"/>
      <c r="AR46" s="8"/>
      <c r="AS46" s="8"/>
      <c r="AT46" s="8"/>
      <c r="AU46" s="8"/>
      <c r="AV46" s="8"/>
      <c r="AW46" s="8"/>
      <c r="AX46" s="8"/>
    </row>
    <row r="47" spans="2:50" x14ac:dyDescent="0.3">
      <c r="B47" s="154" t="s">
        <v>42</v>
      </c>
      <c r="C47" s="154"/>
      <c r="D47" s="154"/>
      <c r="E47" s="154"/>
      <c r="F47" s="154"/>
      <c r="G47" s="154"/>
      <c r="H47" s="154"/>
      <c r="I47" s="154"/>
      <c r="J47" s="154"/>
      <c r="K47" s="154"/>
      <c r="L47" s="154"/>
      <c r="M47" s="154"/>
      <c r="N47" s="154"/>
      <c r="O47" s="154"/>
      <c r="P47" s="154"/>
      <c r="Q47" s="154"/>
      <c r="R47" s="154"/>
      <c r="S47" s="154"/>
      <c r="T47" s="154"/>
      <c r="U47" s="154"/>
      <c r="V47" s="154"/>
      <c r="W47" s="154"/>
      <c r="X47" s="154"/>
      <c r="Y47" s="154"/>
      <c r="Z47" s="154"/>
      <c r="AA47" s="154"/>
    </row>
    <row r="48" spans="2:50" s="103" customFormat="1" ht="25.5" customHeight="1" x14ac:dyDescent="0.3">
      <c r="B48" s="156" t="s">
        <v>43</v>
      </c>
      <c r="C48" s="157"/>
      <c r="D48" s="157"/>
      <c r="E48" s="157"/>
      <c r="F48" s="157"/>
      <c r="G48" s="157"/>
      <c r="H48" s="157"/>
      <c r="I48" s="157"/>
      <c r="J48" s="157"/>
      <c r="K48" s="157"/>
      <c r="L48" s="157"/>
      <c r="M48" s="157"/>
      <c r="N48" s="157"/>
      <c r="O48" s="157"/>
      <c r="P48" s="157"/>
      <c r="Q48" s="157"/>
      <c r="R48" s="157"/>
      <c r="S48" s="157"/>
      <c r="T48" s="157"/>
      <c r="U48" s="157"/>
      <c r="V48" s="157"/>
      <c r="W48" s="157"/>
      <c r="X48" s="157"/>
      <c r="Y48" s="157"/>
      <c r="Z48" s="157"/>
      <c r="AA48" s="157"/>
      <c r="AB48" s="120"/>
      <c r="AC48" s="144"/>
      <c r="AE48" s="374"/>
      <c r="AN48" s="8"/>
      <c r="AO48" s="8"/>
      <c r="AP48" s="8"/>
      <c r="AQ48" s="8"/>
      <c r="AR48" s="8"/>
      <c r="AS48" s="8"/>
      <c r="AT48" s="8"/>
      <c r="AU48" s="8"/>
      <c r="AV48" s="8"/>
      <c r="AW48" s="8"/>
      <c r="AX48" s="8"/>
    </row>
    <row r="49" spans="2:50" s="103" customFormat="1" ht="24" customHeight="1" x14ac:dyDescent="0.3">
      <c r="B49" s="153" t="s">
        <v>32</v>
      </c>
      <c r="C49" s="153"/>
      <c r="D49" s="95"/>
      <c r="E49" s="95"/>
      <c r="F49" s="95"/>
      <c r="G49" s="95"/>
      <c r="H49" s="93"/>
      <c r="I49" s="153" t="s">
        <v>33</v>
      </c>
      <c r="J49" s="153"/>
      <c r="K49" s="153"/>
      <c r="L49" s="153"/>
      <c r="M49" s="153"/>
      <c r="N49" s="153"/>
      <c r="O49" s="153"/>
      <c r="P49" s="343"/>
      <c r="Q49" s="311" t="s">
        <v>72</v>
      </c>
      <c r="R49" s="311"/>
      <c r="S49" s="311"/>
      <c r="T49" s="311"/>
      <c r="U49" s="311"/>
      <c r="V49" s="369"/>
      <c r="W49" s="311" t="s">
        <v>73</v>
      </c>
      <c r="X49" s="311"/>
      <c r="Y49" s="311"/>
      <c r="Z49" s="311"/>
      <c r="AA49" s="311"/>
      <c r="AB49" s="120"/>
      <c r="AC49" s="144"/>
      <c r="AE49" s="374"/>
      <c r="AN49" s="8"/>
      <c r="AO49" s="8"/>
      <c r="AP49" s="8"/>
      <c r="AQ49" s="8"/>
      <c r="AR49" s="8"/>
      <c r="AS49" s="8"/>
      <c r="AT49" s="8"/>
      <c r="AU49" s="8"/>
      <c r="AV49" s="8"/>
      <c r="AW49" s="8"/>
      <c r="AX49" s="8"/>
    </row>
    <row r="51" spans="2:50" ht="15" customHeight="1" x14ac:dyDescent="0.3">
      <c r="B51" s="117" t="s">
        <v>44</v>
      </c>
      <c r="C51" s="117"/>
      <c r="D51" s="117"/>
      <c r="E51" s="117"/>
      <c r="F51" s="117"/>
      <c r="G51" s="117"/>
      <c r="H51" s="117"/>
      <c r="I51" s="155"/>
      <c r="J51" s="155"/>
      <c r="K51" s="155"/>
      <c r="L51" s="155"/>
      <c r="M51" s="155"/>
      <c r="N51" s="155"/>
      <c r="O51" s="155"/>
      <c r="P51" s="334"/>
      <c r="Q51" s="334"/>
      <c r="R51" s="306" t="s">
        <v>0</v>
      </c>
      <c r="S51" s="306"/>
      <c r="T51" s="306"/>
      <c r="V51" s="124"/>
      <c r="W51" s="334"/>
      <c r="X51" s="306" t="s">
        <v>14</v>
      </c>
      <c r="Y51" s="306"/>
      <c r="Z51" s="306"/>
      <c r="AA51" s="348"/>
      <c r="AB51" s="120"/>
      <c r="AC51" s="370"/>
      <c r="AD51" s="103"/>
      <c r="AE51" s="119"/>
      <c r="AF51" s="103"/>
      <c r="AG51" s="103"/>
      <c r="AH51" s="103"/>
      <c r="AI51" s="103"/>
      <c r="AJ51" s="103"/>
      <c r="AK51" s="103"/>
      <c r="AL51" s="103"/>
      <c r="AM51" s="103"/>
      <c r="AN51" s="8"/>
      <c r="AO51" s="8"/>
      <c r="AP51" s="8"/>
      <c r="AQ51" s="8"/>
      <c r="AR51" s="8"/>
      <c r="AS51" s="8"/>
      <c r="AT51" s="8"/>
      <c r="AU51" s="8"/>
      <c r="AV51" s="8"/>
      <c r="AW51" s="8"/>
      <c r="AX51" s="8"/>
    </row>
    <row r="52" spans="2:50" ht="15" customHeight="1" x14ac:dyDescent="0.3">
      <c r="B52" s="117" t="s">
        <v>45</v>
      </c>
      <c r="C52" s="117"/>
      <c r="D52" s="117"/>
      <c r="E52" s="117"/>
      <c r="F52" s="117"/>
      <c r="G52" s="117"/>
      <c r="H52" s="117"/>
      <c r="I52" s="155"/>
      <c r="J52" s="155"/>
      <c r="K52" s="155"/>
      <c r="L52" s="155"/>
      <c r="M52" s="155"/>
      <c r="N52" s="155"/>
      <c r="O52" s="155"/>
      <c r="P52" s="334"/>
      <c r="Q52" s="334"/>
      <c r="R52" s="306" t="s">
        <v>0</v>
      </c>
      <c r="S52" s="306"/>
      <c r="T52" s="306"/>
      <c r="V52" s="124"/>
      <c r="W52" s="334"/>
      <c r="X52" s="306" t="s">
        <v>14</v>
      </c>
      <c r="Y52" s="306"/>
      <c r="Z52" s="306"/>
      <c r="AA52" s="348"/>
      <c r="AB52" s="120"/>
      <c r="AC52" s="370"/>
      <c r="AD52" s="103"/>
      <c r="AE52" s="119"/>
      <c r="AF52" s="103"/>
      <c r="AG52" s="103"/>
      <c r="AH52" s="103"/>
      <c r="AI52" s="103"/>
      <c r="AJ52" s="103"/>
      <c r="AK52" s="103"/>
      <c r="AL52" s="103"/>
      <c r="AM52" s="103"/>
      <c r="AN52" s="8"/>
      <c r="AO52" s="8"/>
      <c r="AP52" s="8"/>
      <c r="AQ52" s="8"/>
      <c r="AR52" s="8"/>
      <c r="AS52" s="8"/>
      <c r="AT52" s="8"/>
      <c r="AU52" s="8"/>
      <c r="AV52" s="8"/>
      <c r="AW52" s="8"/>
      <c r="AX52" s="8"/>
    </row>
    <row r="53" spans="2:50" ht="15" customHeight="1" x14ac:dyDescent="0.3">
      <c r="B53" s="117" t="s">
        <v>46</v>
      </c>
      <c r="C53" s="117"/>
      <c r="D53" s="117"/>
      <c r="E53" s="117"/>
      <c r="F53" s="117"/>
      <c r="G53" s="117"/>
      <c r="H53" s="117"/>
      <c r="I53" s="155"/>
      <c r="J53" s="155"/>
      <c r="K53" s="155"/>
      <c r="L53" s="155"/>
      <c r="M53" s="155"/>
      <c r="N53" s="155"/>
      <c r="O53" s="155"/>
      <c r="P53" s="334"/>
      <c r="Q53" s="334"/>
      <c r="R53" s="306" t="s">
        <v>0</v>
      </c>
      <c r="S53" s="306"/>
      <c r="T53" s="306"/>
      <c r="V53" s="124"/>
      <c r="W53" s="334"/>
      <c r="X53" s="306" t="s">
        <v>14</v>
      </c>
      <c r="Y53" s="306"/>
      <c r="Z53" s="306"/>
      <c r="AA53" s="348"/>
      <c r="AB53" s="120"/>
      <c r="AC53" s="370"/>
      <c r="AD53" s="103"/>
      <c r="AE53" s="119"/>
      <c r="AF53" s="103"/>
      <c r="AG53" s="103"/>
      <c r="AH53" s="103"/>
      <c r="AI53" s="103"/>
      <c r="AJ53" s="103"/>
      <c r="AK53" s="103"/>
      <c r="AL53" s="103"/>
      <c r="AM53" s="103"/>
      <c r="AN53" s="8"/>
      <c r="AO53" s="8"/>
      <c r="AP53" s="8"/>
      <c r="AQ53" s="8"/>
      <c r="AR53" s="8"/>
      <c r="AS53" s="8"/>
      <c r="AT53" s="8"/>
      <c r="AU53" s="8"/>
      <c r="AV53" s="8"/>
      <c r="AW53" s="8"/>
      <c r="AX53" s="8"/>
    </row>
    <row r="54" spans="2:50" ht="15" customHeight="1" x14ac:dyDescent="0.3">
      <c r="B54" s="117" t="s">
        <v>47</v>
      </c>
      <c r="C54" s="117"/>
      <c r="D54" s="117"/>
      <c r="E54" s="117"/>
      <c r="F54" s="117"/>
      <c r="G54" s="117"/>
      <c r="H54" s="117"/>
      <c r="I54" s="155"/>
      <c r="J54" s="155"/>
      <c r="K54" s="155"/>
      <c r="L54" s="155"/>
      <c r="M54" s="155"/>
      <c r="N54" s="155"/>
      <c r="O54" s="155"/>
      <c r="P54" s="334"/>
      <c r="Q54" s="334"/>
      <c r="R54" s="306" t="s">
        <v>0</v>
      </c>
      <c r="S54" s="306"/>
      <c r="T54" s="306"/>
      <c r="V54" s="124"/>
      <c r="W54" s="334"/>
      <c r="X54" s="306" t="s">
        <v>14</v>
      </c>
      <c r="Y54" s="306"/>
      <c r="Z54" s="306"/>
      <c r="AA54" s="348"/>
      <c r="AB54" s="120"/>
      <c r="AC54" s="370"/>
      <c r="AD54" s="103"/>
      <c r="AE54" s="119"/>
      <c r="AF54" s="103"/>
      <c r="AG54" s="103"/>
      <c r="AH54" s="103"/>
      <c r="AI54" s="103"/>
      <c r="AJ54" s="103"/>
      <c r="AK54" s="103"/>
      <c r="AL54" s="103"/>
      <c r="AM54" s="103"/>
      <c r="AN54" s="8"/>
      <c r="AO54" s="8"/>
      <c r="AP54" s="8"/>
      <c r="AQ54" s="8"/>
      <c r="AR54" s="8"/>
      <c r="AS54" s="8"/>
      <c r="AT54" s="8"/>
      <c r="AU54" s="8"/>
      <c r="AV54" s="8"/>
      <c r="AW54" s="8"/>
      <c r="AX54" s="8"/>
    </row>
    <row r="55" spans="2:50" ht="15" customHeight="1" x14ac:dyDescent="0.3">
      <c r="B55" s="117" t="s">
        <v>58</v>
      </c>
      <c r="C55" s="117"/>
      <c r="D55" s="117"/>
      <c r="E55" s="117"/>
      <c r="F55" s="117"/>
      <c r="G55" s="117"/>
      <c r="H55" s="117"/>
      <c r="I55" s="155"/>
      <c r="J55" s="155"/>
      <c r="K55" s="155"/>
      <c r="L55" s="155"/>
      <c r="M55" s="155"/>
      <c r="N55" s="155"/>
      <c r="O55" s="155"/>
      <c r="P55" s="334"/>
      <c r="Q55" s="334"/>
      <c r="R55" s="306" t="s">
        <v>0</v>
      </c>
      <c r="S55" s="306"/>
      <c r="T55" s="306"/>
      <c r="V55" s="124"/>
      <c r="W55" s="334"/>
      <c r="X55" s="306" t="s">
        <v>14</v>
      </c>
      <c r="Y55" s="306"/>
      <c r="Z55" s="306"/>
      <c r="AA55" s="348"/>
      <c r="AB55" s="120"/>
      <c r="AC55" s="370"/>
      <c r="AD55" s="103"/>
      <c r="AE55" s="119"/>
      <c r="AF55" s="103"/>
      <c r="AG55" s="103"/>
      <c r="AH55" s="103"/>
      <c r="AI55" s="103"/>
      <c r="AJ55" s="103"/>
      <c r="AK55" s="103"/>
      <c r="AL55" s="103"/>
      <c r="AM55" s="103"/>
      <c r="AN55" s="8"/>
      <c r="AO55" s="8"/>
      <c r="AP55" s="8"/>
      <c r="AQ55" s="8"/>
      <c r="AR55" s="8"/>
      <c r="AS55" s="8"/>
      <c r="AT55" s="8"/>
      <c r="AU55" s="8"/>
      <c r="AV55" s="8"/>
      <c r="AW55" s="8"/>
      <c r="AX55" s="8"/>
    </row>
    <row r="56" spans="2:50" ht="15" customHeight="1" x14ac:dyDescent="0.3">
      <c r="B56" s="117" t="s">
        <v>59</v>
      </c>
      <c r="C56" s="117"/>
      <c r="D56" s="117"/>
      <c r="E56" s="117"/>
      <c r="F56" s="117"/>
      <c r="G56" s="117"/>
      <c r="H56" s="117"/>
      <c r="I56" s="155"/>
      <c r="J56" s="155"/>
      <c r="K56" s="155"/>
      <c r="L56" s="155"/>
      <c r="M56" s="155"/>
      <c r="N56" s="155"/>
      <c r="O56" s="155"/>
      <c r="P56" s="334"/>
      <c r="Q56" s="334"/>
      <c r="R56" s="306" t="s">
        <v>0</v>
      </c>
      <c r="S56" s="306"/>
      <c r="T56" s="306"/>
      <c r="V56" s="124"/>
      <c r="W56" s="334"/>
      <c r="X56" s="306" t="s">
        <v>14</v>
      </c>
      <c r="Y56" s="306"/>
      <c r="Z56" s="306"/>
      <c r="AA56" s="348"/>
      <c r="AB56" s="120"/>
      <c r="AC56" s="370"/>
      <c r="AD56" s="103"/>
      <c r="AE56" s="119"/>
      <c r="AF56" s="103"/>
      <c r="AG56" s="103"/>
      <c r="AH56" s="103"/>
      <c r="AI56" s="103"/>
      <c r="AJ56" s="103"/>
      <c r="AK56" s="103"/>
      <c r="AL56" s="103"/>
      <c r="AM56" s="103"/>
      <c r="AN56" s="8"/>
      <c r="AO56" s="8"/>
      <c r="AP56" s="8"/>
      <c r="AQ56" s="8"/>
      <c r="AR56" s="8"/>
      <c r="AS56" s="8"/>
      <c r="AT56" s="8"/>
      <c r="AU56" s="8"/>
      <c r="AV56" s="8"/>
      <c r="AW56" s="8"/>
      <c r="AX56" s="8"/>
    </row>
    <row r="57" spans="2:50" ht="15" customHeight="1" x14ac:dyDescent="0.3">
      <c r="B57" s="117" t="s">
        <v>60</v>
      </c>
      <c r="C57" s="117"/>
      <c r="D57" s="117"/>
      <c r="E57" s="117"/>
      <c r="F57" s="117"/>
      <c r="G57" s="117"/>
      <c r="H57" s="117"/>
      <c r="I57" s="155"/>
      <c r="J57" s="155"/>
      <c r="K57" s="155"/>
      <c r="L57" s="155"/>
      <c r="M57" s="155"/>
      <c r="N57" s="155"/>
      <c r="O57" s="155"/>
      <c r="P57" s="334"/>
      <c r="Q57" s="334"/>
      <c r="R57" s="306" t="s">
        <v>0</v>
      </c>
      <c r="S57" s="306"/>
      <c r="T57" s="306"/>
      <c r="V57" s="124"/>
      <c r="W57" s="334"/>
      <c r="X57" s="306" t="s">
        <v>14</v>
      </c>
      <c r="Y57" s="306"/>
      <c r="Z57" s="306"/>
      <c r="AA57" s="348"/>
      <c r="AB57" s="120"/>
      <c r="AC57" s="370"/>
      <c r="AD57" s="103"/>
      <c r="AE57" s="119"/>
      <c r="AF57" s="103"/>
      <c r="AG57" s="103"/>
      <c r="AH57" s="103"/>
      <c r="AI57" s="103"/>
      <c r="AJ57" s="103"/>
      <c r="AK57" s="103"/>
      <c r="AL57" s="103"/>
      <c r="AM57" s="103"/>
      <c r="AN57" s="8"/>
      <c r="AO57" s="8"/>
      <c r="AP57" s="8"/>
      <c r="AQ57" s="8"/>
      <c r="AR57" s="8"/>
      <c r="AS57" s="8"/>
      <c r="AT57" s="8"/>
      <c r="AU57" s="8"/>
      <c r="AV57" s="8"/>
      <c r="AW57" s="8"/>
      <c r="AX57" s="8"/>
    </row>
    <row r="58" spans="2:50" ht="15" customHeight="1" x14ac:dyDescent="0.3">
      <c r="B58" s="117" t="s">
        <v>61</v>
      </c>
      <c r="C58" s="117"/>
      <c r="D58" s="117"/>
      <c r="E58" s="117"/>
      <c r="F58" s="117"/>
      <c r="G58" s="117"/>
      <c r="H58" s="117"/>
      <c r="I58" s="155"/>
      <c r="J58" s="155"/>
      <c r="K58" s="155"/>
      <c r="L58" s="155"/>
      <c r="M58" s="155"/>
      <c r="N58" s="155"/>
      <c r="O58" s="155"/>
      <c r="P58" s="334"/>
      <c r="Q58" s="334"/>
      <c r="R58" s="306" t="s">
        <v>0</v>
      </c>
      <c r="S58" s="306"/>
      <c r="T58" s="306"/>
      <c r="V58" s="124"/>
      <c r="W58" s="334"/>
      <c r="X58" s="306" t="s">
        <v>14</v>
      </c>
      <c r="Y58" s="306"/>
      <c r="Z58" s="306"/>
      <c r="AA58" s="348"/>
      <c r="AB58" s="120"/>
      <c r="AC58" s="370"/>
      <c r="AD58" s="103"/>
      <c r="AE58" s="119"/>
      <c r="AF58" s="103"/>
      <c r="AG58" s="103"/>
      <c r="AH58" s="103"/>
      <c r="AI58" s="103"/>
      <c r="AJ58" s="103"/>
      <c r="AK58" s="103"/>
      <c r="AL58" s="103"/>
      <c r="AM58" s="103"/>
      <c r="AN58" s="8"/>
      <c r="AO58" s="8"/>
      <c r="AP58" s="8"/>
      <c r="AQ58" s="8"/>
      <c r="AR58" s="8"/>
      <c r="AS58" s="8"/>
      <c r="AT58" s="8"/>
      <c r="AU58" s="8"/>
      <c r="AV58" s="8"/>
      <c r="AW58" s="8"/>
      <c r="AX58" s="8"/>
    </row>
    <row r="59" spans="2:50" ht="9" customHeight="1" x14ac:dyDescent="0.3">
      <c r="B59" s="95"/>
      <c r="C59" s="95"/>
      <c r="D59" s="95"/>
      <c r="E59" s="95"/>
      <c r="F59" s="95"/>
      <c r="G59" s="95"/>
      <c r="H59" s="95"/>
      <c r="I59" s="95"/>
      <c r="J59" s="95"/>
      <c r="K59" s="95"/>
      <c r="L59" s="95"/>
      <c r="M59" s="95"/>
      <c r="N59" s="95"/>
      <c r="O59" s="95"/>
      <c r="P59" s="95"/>
      <c r="Q59" s="95"/>
      <c r="R59" s="95"/>
      <c r="S59" s="95"/>
      <c r="T59" s="95"/>
      <c r="U59" s="95"/>
      <c r="V59" s="95"/>
      <c r="W59" s="95"/>
      <c r="X59" s="95"/>
      <c r="Y59" s="95"/>
      <c r="Z59" s="99"/>
      <c r="AA59" s="99"/>
      <c r="AC59" s="126"/>
    </row>
    <row r="61" spans="2:50" x14ac:dyDescent="0.3">
      <c r="B61" s="375" t="s">
        <v>48</v>
      </c>
      <c r="C61" s="375"/>
      <c r="D61" s="375"/>
      <c r="E61" s="375"/>
      <c r="F61" s="375"/>
      <c r="G61" s="375"/>
      <c r="H61" s="375"/>
      <c r="I61" s="375"/>
      <c r="J61" s="375"/>
      <c r="K61" s="375"/>
      <c r="L61" s="375"/>
      <c r="M61" s="375"/>
      <c r="N61" s="375"/>
      <c r="O61" s="375"/>
      <c r="P61" s="375"/>
      <c r="Q61" s="375"/>
      <c r="R61" s="375"/>
      <c r="S61" s="375"/>
      <c r="T61" s="375"/>
      <c r="U61" s="375"/>
      <c r="V61" s="375"/>
      <c r="W61" s="375"/>
      <c r="X61" s="375"/>
      <c r="Y61" s="375"/>
      <c r="Z61" s="375"/>
      <c r="AA61" s="375"/>
      <c r="AB61" s="375"/>
      <c r="AC61" s="375"/>
      <c r="AD61" s="375"/>
      <c r="AE61" s="375"/>
    </row>
    <row r="62" spans="2:50" ht="42.75" customHeight="1" x14ac:dyDescent="0.3">
      <c r="B62" s="376"/>
      <c r="C62" s="377"/>
      <c r="D62" s="377"/>
      <c r="E62" s="377"/>
      <c r="F62" s="377"/>
      <c r="G62" s="377"/>
      <c r="H62" s="377"/>
      <c r="I62" s="377"/>
      <c r="J62" s="377"/>
      <c r="K62" s="377"/>
      <c r="L62" s="377"/>
      <c r="M62" s="377"/>
      <c r="N62" s="377"/>
      <c r="O62" s="377"/>
      <c r="P62" s="377"/>
      <c r="Q62" s="377"/>
      <c r="R62" s="377"/>
      <c r="S62" s="377"/>
      <c r="T62" s="377"/>
      <c r="U62" s="377"/>
      <c r="V62" s="377"/>
      <c r="W62" s="377"/>
      <c r="X62" s="377"/>
      <c r="Y62" s="377"/>
      <c r="Z62" s="377"/>
      <c r="AA62" s="377"/>
      <c r="AB62" s="377"/>
      <c r="AC62" s="377"/>
      <c r="AD62" s="377"/>
      <c r="AE62" s="378"/>
    </row>
    <row r="63" spans="2:50" ht="14.4" x14ac:dyDescent="0.3">
      <c r="AE63" s="330"/>
    </row>
  </sheetData>
  <sheetProtection sheet="1" objects="1" scenarios="1"/>
  <dataConsolidate/>
  <customSheetViews>
    <customSheetView guid="{81F0E444-1FDF-4C2C-B330-A1D7F689AA54}" showGridLines="0" showRowCol="0" fitToPage="1">
      <selection activeCell="B105" sqref="B105:AE105"/>
      <pageMargins left="0.70866141732283472" right="0.70866141732283472" top="0.74803149606299213" bottom="0.74803149606299213" header="0.31496062992125984" footer="0.31496062992125984"/>
      <printOptions horizontalCentered="1"/>
      <pageSetup scale="67" orientation="portrait" r:id="rId1"/>
    </customSheetView>
  </customSheetViews>
  <mergeCells count="93">
    <mergeCell ref="I56:O56"/>
    <mergeCell ref="X54:Z54"/>
    <mergeCell ref="R56:T56"/>
    <mergeCell ref="X56:Z56"/>
    <mergeCell ref="B62:AE62"/>
    <mergeCell ref="I57:O57"/>
    <mergeCell ref="R57:T57"/>
    <mergeCell ref="X57:Z57"/>
    <mergeCell ref="I58:O58"/>
    <mergeCell ref="R58:T58"/>
    <mergeCell ref="X58:Z58"/>
    <mergeCell ref="B61:AE61"/>
    <mergeCell ref="I54:O54"/>
    <mergeCell ref="R54:T54"/>
    <mergeCell ref="B49:C49"/>
    <mergeCell ref="I49:O49"/>
    <mergeCell ref="Q49:U49"/>
    <mergeCell ref="W49:AA49"/>
    <mergeCell ref="I55:O55"/>
    <mergeCell ref="R55:T55"/>
    <mergeCell ref="X55:Z55"/>
    <mergeCell ref="R53:T53"/>
    <mergeCell ref="X53:Z53"/>
    <mergeCell ref="I53:O53"/>
    <mergeCell ref="I51:O51"/>
    <mergeCell ref="R51:T51"/>
    <mergeCell ref="I52:O52"/>
    <mergeCell ref="R52:T52"/>
    <mergeCell ref="X52:Z52"/>
    <mergeCell ref="X51:Z51"/>
    <mergeCell ref="B48:AA48"/>
    <mergeCell ref="B43:H43"/>
    <mergeCell ref="I43:O43"/>
    <mergeCell ref="R43:T43"/>
    <mergeCell ref="X43:Z43"/>
    <mergeCell ref="B45:E45"/>
    <mergeCell ref="B47:AA47"/>
    <mergeCell ref="B41:H41"/>
    <mergeCell ref="I41:O41"/>
    <mergeCell ref="R41:T41"/>
    <mergeCell ref="X41:Z41"/>
    <mergeCell ref="B42:H42"/>
    <mergeCell ref="I42:O42"/>
    <mergeCell ref="R42:T42"/>
    <mergeCell ref="X42:Z42"/>
    <mergeCell ref="B40:H40"/>
    <mergeCell ref="I40:O40"/>
    <mergeCell ref="R40:T40"/>
    <mergeCell ref="X40:Z40"/>
    <mergeCell ref="B37:H37"/>
    <mergeCell ref="I37:O37"/>
    <mergeCell ref="R37:T37"/>
    <mergeCell ref="X37:Z37"/>
    <mergeCell ref="B38:H38"/>
    <mergeCell ref="I38:O38"/>
    <mergeCell ref="R38:T38"/>
    <mergeCell ref="X38:Z38"/>
    <mergeCell ref="B32:AC32"/>
    <mergeCell ref="B33:AC33"/>
    <mergeCell ref="B39:H39"/>
    <mergeCell ref="I39:O39"/>
    <mergeCell ref="R39:T39"/>
    <mergeCell ref="X39:Z39"/>
    <mergeCell ref="B34:AC34"/>
    <mergeCell ref="B36:C36"/>
    <mergeCell ref="I36:O36"/>
    <mergeCell ref="Q36:U36"/>
    <mergeCell ref="W36:AA36"/>
    <mergeCell ref="J29:W29"/>
    <mergeCell ref="B2:AA2"/>
    <mergeCell ref="B4:AC4"/>
    <mergeCell ref="B6:E6"/>
    <mergeCell ref="G6:AA6"/>
    <mergeCell ref="B8:C8"/>
    <mergeCell ref="D8:I8"/>
    <mergeCell ref="K8:R8"/>
    <mergeCell ref="S8:AA8"/>
    <mergeCell ref="Q9:Y9"/>
    <mergeCell ref="B17:AC17"/>
    <mergeCell ref="B18:AC18"/>
    <mergeCell ref="B19:AC19"/>
    <mergeCell ref="B14:AC14"/>
    <mergeCell ref="B15:N15"/>
    <mergeCell ref="O15:T15"/>
    <mergeCell ref="B10:AC10"/>
    <mergeCell ref="B12:H12"/>
    <mergeCell ref="J12:P12"/>
    <mergeCell ref="B1:AA1"/>
    <mergeCell ref="J25:W25"/>
    <mergeCell ref="V15:AC15"/>
    <mergeCell ref="K21:P21"/>
    <mergeCell ref="V21:AB21"/>
    <mergeCell ref="B23:AC23"/>
  </mergeCells>
  <conditionalFormatting sqref="S21:AC21">
    <cfRule type="expression" dxfId="27" priority="30" stopIfTrue="1">
      <formula>$K$21="Seleccione"</formula>
    </cfRule>
  </conditionalFormatting>
  <conditionalFormatting sqref="T21:AB21">
    <cfRule type="expression" dxfId="26" priority="28" stopIfTrue="1">
      <formula>$K$21=".NET"</formula>
    </cfRule>
    <cfRule type="expression" dxfId="25" priority="29" stopIfTrue="1">
      <formula>$K$21="JAVA"</formula>
    </cfRule>
  </conditionalFormatting>
  <conditionalFormatting sqref="X38:AA38">
    <cfRule type="expression" dxfId="24" priority="27" stopIfTrue="1">
      <formula>$R$38="Seleccione"</formula>
    </cfRule>
  </conditionalFormatting>
  <conditionalFormatting sqref="X41:AA41">
    <cfRule type="expression" dxfId="23" priority="26" stopIfTrue="1">
      <formula>$R$41="Seleccione"</formula>
    </cfRule>
  </conditionalFormatting>
  <conditionalFormatting sqref="X42:AA42">
    <cfRule type="expression" dxfId="22" priority="25" stopIfTrue="1">
      <formula>$R$42="Seleccione"</formula>
    </cfRule>
  </conditionalFormatting>
  <conditionalFormatting sqref="X43:AA46">
    <cfRule type="expression" dxfId="21" priority="24" stopIfTrue="1">
      <formula>$R$43="Seleccione"</formula>
    </cfRule>
  </conditionalFormatting>
  <conditionalFormatting sqref="X51:AA51">
    <cfRule type="expression" dxfId="20" priority="23" stopIfTrue="1">
      <formula>$R$51="Seleccione"</formula>
    </cfRule>
  </conditionalFormatting>
  <conditionalFormatting sqref="X52:AA52">
    <cfRule type="expression" dxfId="19" priority="22" stopIfTrue="1">
      <formula>$R$52="Seleccione"</formula>
    </cfRule>
  </conditionalFormatting>
  <conditionalFormatting sqref="X53:AA53">
    <cfRule type="expression" dxfId="18" priority="21" stopIfTrue="1">
      <formula>$R$53="Seleccione"</formula>
    </cfRule>
  </conditionalFormatting>
  <conditionalFormatting sqref="X54:AA54">
    <cfRule type="expression" dxfId="17" priority="20" stopIfTrue="1">
      <formula>$R$54="Seleccione"</formula>
    </cfRule>
  </conditionalFormatting>
  <conditionalFormatting sqref="X55:AA55">
    <cfRule type="expression" dxfId="16" priority="19" stopIfTrue="1">
      <formula>$R$55="Seleccione"</formula>
    </cfRule>
  </conditionalFormatting>
  <conditionalFormatting sqref="X56:AA56">
    <cfRule type="expression" dxfId="15" priority="18" stopIfTrue="1">
      <formula>$R$56="Seleccione"</formula>
    </cfRule>
  </conditionalFormatting>
  <conditionalFormatting sqref="X57:AA57">
    <cfRule type="expression" dxfId="14" priority="17" stopIfTrue="1">
      <formula>$R$57="Seleccione"</formula>
    </cfRule>
  </conditionalFormatting>
  <conditionalFormatting sqref="X58:AA58">
    <cfRule type="expression" dxfId="13" priority="16" stopIfTrue="1">
      <formula>$R$58="Seleccione"</formula>
    </cfRule>
  </conditionalFormatting>
  <conditionalFormatting sqref="B47:AA58">
    <cfRule type="expression" dxfId="12" priority="3" stopIfTrue="1">
      <formula>$F$45="NO"</formula>
    </cfRule>
  </conditionalFormatting>
  <conditionalFormatting sqref="B59:AA59">
    <cfRule type="expression" dxfId="11" priority="123" stopIfTrue="1">
      <formula>#REF!="- seleccione -"</formula>
    </cfRule>
  </conditionalFormatting>
  <conditionalFormatting sqref="B47:AA48">
    <cfRule type="expression" dxfId="10" priority="1" stopIfTrue="1">
      <formula>$F$40="NO"</formula>
    </cfRule>
  </conditionalFormatting>
  <conditionalFormatting sqref="B47:AA48">
    <cfRule type="expression" dxfId="9" priority="124" stopIfTrue="1">
      <formula>$F$49="NO"</formula>
    </cfRule>
  </conditionalFormatting>
  <dataValidations count="13">
    <dataValidation allowBlank="1" showInputMessage="1" showErrorMessage="1" prompt="En este campo podrá incluir una observación que referente a la configuración." sqref="B62:AE62" xr:uid="{8C7CBB98-B3A7-4B1D-B980-EFB79587A308}"/>
    <dataValidation type="list" allowBlank="1" showInputMessage="1" showErrorMessage="1" prompt="Información opcional que visualizara el cliente durante el proceso de pago." sqref="R51:T58" xr:uid="{069081DE-DC0F-4600-B705-76E6E0931686}">
      <formula1>"Seleccione,Visible, Oculto,No"</formula1>
    </dataValidation>
    <dataValidation type="list" allowBlank="1" showInputMessage="1" showErrorMessage="1" prompt="Información que visualizara el cliente durante el proceso de pago." sqref="R38:T38 R41:T46" xr:uid="{66C3EB27-54D4-4CA3-AEE8-B08AB87D5F38}">
      <formula1>"Seleccione,Visible, Oculto"</formula1>
    </dataValidation>
    <dataValidation allowBlank="1" showInputMessage="1" showErrorMessage="1" prompt="Información que visualizara el cliente durante el proceso de pago." sqref="R37:T37 R39:T40" xr:uid="{EE61BDBB-C069-47C5-BB21-0E7726CD9A77}"/>
    <dataValidation type="list" allowBlank="1" showInputMessage="1" showErrorMessage="1" prompt="Valide con el técnico encargado sobre que estándar desarrollará la solución de pagos." sqref="K21:P21" xr:uid="{9B7D7E3E-2F85-4510-BD36-11C986AB6381}">
      <formula1>"Seleccione, JAVA, .NET, Otro"</formula1>
    </dataValidation>
    <dataValidation allowBlank="1" showInputMessage="1" showErrorMessage="1" prompt="Página web relacionada durante el proceso de pago y que permite al usuario final regresar al inicio del pago." sqref="B25:J25 B29:J29" xr:uid="{F68215D1-25CA-433E-8E09-A137921555B6}"/>
    <dataValidation allowBlank="1" showInputMessage="1" showErrorMessage="1" prompt="Valide con el técnico encargado sobre que estándar desarrollará la solución de pagos." sqref="B21:J21" xr:uid="{A263DE29-F6F4-4F69-B065-60EEBA343E37}"/>
    <dataValidation type="list" allowBlank="1" showInputMessage="1" showErrorMessage="1" error="Dato No Valido" prompt="Para visualizar un ejemplo de la platilla puede dar clic en el vínculo (Seleccione aquí plantillas y colores)." sqref="O15:T15" xr:uid="{5EDE0C87-1A8E-497F-876B-2A41103F4B3E}">
      <formula1>"Seleccione, Plantilla Tipo 1, Plantilla Tipo 2"</formula1>
    </dataValidation>
    <dataValidation allowBlank="1" showInputMessage="1" showErrorMessage="1" prompt="Logotipo de la compañía (155X96 pixeles; Tamaño: 11 KB; Formato JPG o GIF fondo transparente) **En caso de utilizar un logo diferente al de la empresa a vincular, anexar autorización escrita del propietario de la marca comercial. " sqref="B15:N15" xr:uid="{012CC378-8784-429A-8451-72B8AB6CA110}"/>
    <dataValidation allowBlank="1" showInputMessage="1" showErrorMessage="1" prompt="El envió de información de manera segura se realiza a través de un túnel de comunicación VPN, es necesario que diligencie la información requerida para la construcción de este canal. " sqref="B12:H12 J12:P12" xr:uid="{36C35968-15DB-481F-A25F-3324B0690500}"/>
    <dataValidation type="list" allowBlank="1" showInputMessage="1" showErrorMessage="1" sqref="F45" xr:uid="{298661F5-BDD8-4E44-ABB0-DD56E10F78F4}">
      <formula1>"SI, NO"</formula1>
    </dataValidation>
    <dataValidation allowBlank="1" showInputMessage="1" showErrorMessage="1" prompt="Esta información viaja de manera obligatoria en el web Service de comunicación." sqref="X37:Z46 X51:Z58" xr:uid="{14E73901-85C2-47A5-BF00-FE6A448AAC27}"/>
    <dataValidation allowBlank="1" showInputMessage="1" showErrorMessage="1" prompt="Indique el nombre personalizado que tendrá este campo y que visualizará el usuario final durante el pago." sqref="I37:O46 I51:O58" xr:uid="{31EDBDC2-430A-4473-AFCD-1988E830DB0A}"/>
  </dataValidations>
  <hyperlinks>
    <hyperlink ref="J12:O12" location="'Plantilla de Configuración'!A1" display="(Conozca las plantillas Clic aquí)" xr:uid="{9DC4C150-FAD9-4AA9-9FA6-323ACA1FD238}"/>
    <hyperlink ref="J12:P12" location="VPN!G9" display="(Registre aquí, formato VPN)" xr:uid="{5BA3F1C3-076C-48E9-A0CF-77D13E9DA69D}"/>
    <hyperlink ref="V15:AA15" location="PLANTILLAS!A1" display="(Selección aquí plantillas y colores)" xr:uid="{4AA938D4-FF8F-482A-90F3-A9AA5A306BC3}"/>
  </hyperlinks>
  <printOptions horizontalCentered="1"/>
  <pageMargins left="0.70866141732283472" right="0.70866141732283472" top="0.74803149606299213" bottom="0.74803149606299213" header="0.31496062992125984" footer="0.31496062992125984"/>
  <pageSetup scale="73" orientation="portrait" r:id="rId2"/>
  <headerFooter>
    <oddHeader>&amp;L&amp;"Calibri"&amp;10&amp;K000000 Información de carácter Confidencial&amp;1#_x000D_</oddHeader>
  </headerFooter>
  <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8CBA5A-6C0B-49E8-8E34-1E365039C1B4}">
  <sheetPr codeName="Hoja7"/>
  <dimension ref="A1:DH73"/>
  <sheetViews>
    <sheetView showGridLines="0" topLeftCell="A44" zoomScale="48" zoomScaleNormal="115" workbookViewId="0">
      <selection activeCell="Z24" sqref="Z24"/>
    </sheetView>
  </sheetViews>
  <sheetFormatPr baseColWidth="10" defaultColWidth="6.6640625" defaultRowHeight="14.4" x14ac:dyDescent="0.3"/>
  <cols>
    <col min="2" max="2" width="8.109375" customWidth="1"/>
    <col min="3" max="3" width="8.6640625" customWidth="1"/>
    <col min="6" max="6" width="23.5546875" customWidth="1"/>
    <col min="17" max="17" width="15.33203125" customWidth="1"/>
    <col min="23" max="23" width="5.5546875" customWidth="1"/>
    <col min="24" max="54" width="6.6640625" customWidth="1"/>
    <col min="55" max="55" width="4.88671875" bestFit="1" customWidth="1"/>
    <col min="56" max="56" width="50.109375" bestFit="1" customWidth="1"/>
    <col min="57" max="57" width="16.5546875" bestFit="1" customWidth="1"/>
    <col min="58" max="58" width="15.5546875" bestFit="1" customWidth="1"/>
  </cols>
  <sheetData>
    <row r="1" spans="2:112" ht="84.75" customHeight="1" thickBot="1" x14ac:dyDescent="0.35">
      <c r="B1" s="265" t="s">
        <v>1305</v>
      </c>
      <c r="C1" s="265"/>
      <c r="D1" s="265"/>
      <c r="E1" s="265"/>
      <c r="F1" s="265"/>
      <c r="G1" s="265"/>
      <c r="H1" s="265"/>
      <c r="I1" s="265"/>
      <c r="J1" s="265"/>
      <c r="K1" s="265"/>
      <c r="L1" s="265"/>
      <c r="M1" s="265"/>
      <c r="N1" s="265"/>
      <c r="P1" s="47"/>
      <c r="W1" s="75" t="s">
        <v>123</v>
      </c>
      <c r="BC1" s="49" t="s">
        <v>124</v>
      </c>
      <c r="BD1" s="50" t="s">
        <v>1294</v>
      </c>
      <c r="BE1" s="50" t="s">
        <v>125</v>
      </c>
      <c r="BF1" s="51" t="s">
        <v>126</v>
      </c>
      <c r="DG1" s="1" t="s">
        <v>297</v>
      </c>
      <c r="DH1" s="1" t="e">
        <f>#REF!</f>
        <v>#REF!</v>
      </c>
    </row>
    <row r="2" spans="2:112" ht="11.25" customHeight="1" x14ac:dyDescent="0.3">
      <c r="B2" s="201"/>
      <c r="C2" s="201"/>
      <c r="D2" s="201"/>
      <c r="E2" s="201"/>
      <c r="F2" s="201"/>
      <c r="G2" s="202"/>
      <c r="H2" s="202"/>
      <c r="I2" s="202"/>
      <c r="J2" s="202"/>
      <c r="K2" s="202"/>
      <c r="L2" s="202"/>
      <c r="M2" s="202"/>
      <c r="N2" s="202"/>
      <c r="O2" s="202"/>
      <c r="P2" s="202"/>
      <c r="R2" s="267" t="s">
        <v>229</v>
      </c>
      <c r="S2" s="268"/>
      <c r="T2" s="269"/>
      <c r="W2" s="76" t="s">
        <v>1311</v>
      </c>
      <c r="BC2" s="52" t="s">
        <v>124</v>
      </c>
      <c r="BD2" s="41" t="s">
        <v>1295</v>
      </c>
      <c r="BE2" s="41">
        <f>$D$56</f>
        <v>0</v>
      </c>
      <c r="BF2" s="53" t="s">
        <v>127</v>
      </c>
      <c r="DG2" s="1" t="s">
        <v>298</v>
      </c>
      <c r="DH2" s="1" t="e">
        <f>#REF!</f>
        <v>#REF!</v>
      </c>
    </row>
    <row r="3" spans="2:112" ht="3.75" customHeight="1" thickBot="1" x14ac:dyDescent="0.35">
      <c r="B3" s="201"/>
      <c r="C3" s="201"/>
      <c r="D3" s="201"/>
      <c r="E3" s="201"/>
      <c r="F3" s="201"/>
      <c r="G3" s="203"/>
      <c r="H3" s="204"/>
      <c r="I3" s="204"/>
      <c r="J3" s="204"/>
      <c r="K3" s="204"/>
      <c r="L3" s="204"/>
      <c r="M3" s="204"/>
      <c r="N3" s="204"/>
      <c r="O3" s="204"/>
      <c r="P3" s="204"/>
      <c r="R3" s="270"/>
      <c r="S3" s="271"/>
      <c r="T3" s="272"/>
      <c r="W3" s="76" t="s">
        <v>1310</v>
      </c>
      <c r="BC3" s="52" t="s">
        <v>124</v>
      </c>
      <c r="BD3" s="41" t="s">
        <v>1296</v>
      </c>
      <c r="BE3" s="41" t="s">
        <v>128</v>
      </c>
      <c r="BF3" s="53" t="s">
        <v>127</v>
      </c>
    </row>
    <row r="4" spans="2:112" ht="15.75" customHeight="1" x14ac:dyDescent="0.3">
      <c r="B4" s="201"/>
      <c r="C4" s="201"/>
      <c r="D4" s="201"/>
      <c r="E4" s="201"/>
      <c r="F4" s="201"/>
      <c r="G4" s="210"/>
      <c r="H4" s="204"/>
      <c r="I4" s="204"/>
      <c r="J4" s="204"/>
      <c r="K4" s="204"/>
      <c r="L4" s="204"/>
      <c r="M4" s="204"/>
      <c r="N4" s="204"/>
      <c r="O4" s="204"/>
      <c r="P4" s="204"/>
      <c r="W4" s="76"/>
      <c r="BC4" s="52" t="s">
        <v>124</v>
      </c>
      <c r="BD4" s="41" t="s">
        <v>129</v>
      </c>
      <c r="BE4" s="41" t="s">
        <v>125</v>
      </c>
      <c r="BF4" s="53" t="s">
        <v>127</v>
      </c>
    </row>
    <row r="5" spans="2:112" ht="15.75" customHeight="1" x14ac:dyDescent="0.3">
      <c r="B5" s="212" t="s">
        <v>78</v>
      </c>
      <c r="C5" s="212"/>
      <c r="D5" s="212"/>
      <c r="E5" s="212"/>
      <c r="F5" s="212"/>
      <c r="G5" s="213" t="s">
        <v>123</v>
      </c>
      <c r="H5" s="213"/>
      <c r="I5" s="213"/>
      <c r="J5" s="213"/>
      <c r="K5" s="213"/>
      <c r="L5" s="213"/>
      <c r="M5" s="213"/>
      <c r="N5" s="213"/>
      <c r="O5" s="213"/>
      <c r="P5" s="213"/>
      <c r="W5" s="74"/>
      <c r="BC5" s="52" t="s">
        <v>124</v>
      </c>
      <c r="BD5" s="41" t="s">
        <v>104</v>
      </c>
      <c r="BE5" s="41" t="s">
        <v>110</v>
      </c>
      <c r="BF5" s="53" t="s">
        <v>127</v>
      </c>
    </row>
    <row r="6" spans="2:112" ht="15.75" customHeight="1" x14ac:dyDescent="0.3">
      <c r="B6" s="212" t="s">
        <v>1344</v>
      </c>
      <c r="C6" s="212"/>
      <c r="D6" s="212"/>
      <c r="E6" s="212"/>
      <c r="F6" s="212"/>
      <c r="G6" s="216"/>
      <c r="H6" s="217"/>
      <c r="I6" s="217"/>
      <c r="J6" s="217"/>
      <c r="K6" s="217"/>
      <c r="L6" s="217"/>
      <c r="M6" s="217"/>
      <c r="N6" s="217"/>
      <c r="O6" s="217"/>
      <c r="P6" s="218"/>
      <c r="W6" s="74"/>
      <c r="BC6" s="52"/>
      <c r="BD6" s="41"/>
      <c r="BE6" s="41"/>
      <c r="BF6" s="53"/>
    </row>
    <row r="7" spans="2:112" ht="15.75" customHeight="1" x14ac:dyDescent="0.3">
      <c r="B7" s="212" t="s">
        <v>1345</v>
      </c>
      <c r="C7" s="212"/>
      <c r="D7" s="212"/>
      <c r="E7" s="212"/>
      <c r="F7" s="212"/>
      <c r="G7" s="216"/>
      <c r="H7" s="217"/>
      <c r="I7" s="217"/>
      <c r="J7" s="217"/>
      <c r="K7" s="217"/>
      <c r="L7" s="217"/>
      <c r="M7" s="217"/>
      <c r="N7" s="217"/>
      <c r="O7" s="217"/>
      <c r="P7" s="218"/>
      <c r="W7" s="74"/>
      <c r="BC7" s="52"/>
      <c r="BD7" s="41"/>
      <c r="BE7" s="41"/>
      <c r="BF7" s="53"/>
    </row>
    <row r="8" spans="2:112" ht="15.75" customHeight="1" x14ac:dyDescent="0.3">
      <c r="B8" s="29"/>
      <c r="W8" s="73"/>
      <c r="BC8" s="52" t="s">
        <v>124</v>
      </c>
      <c r="BD8" s="41" t="s">
        <v>105</v>
      </c>
      <c r="BE8" s="41" t="s">
        <v>130</v>
      </c>
      <c r="BF8" s="53" t="s">
        <v>127</v>
      </c>
    </row>
    <row r="9" spans="2:112" ht="15.75" customHeight="1" x14ac:dyDescent="0.3">
      <c r="B9" s="30" t="s">
        <v>232</v>
      </c>
      <c r="W9" s="73"/>
      <c r="BC9" s="54" t="s">
        <v>124</v>
      </c>
      <c r="BD9" s="55" t="s">
        <v>106</v>
      </c>
      <c r="BE9" s="55" t="s">
        <v>113</v>
      </c>
      <c r="BF9" s="56" t="s">
        <v>127</v>
      </c>
    </row>
    <row r="10" spans="2:112" ht="15.75" customHeight="1" x14ac:dyDescent="0.3">
      <c r="B10" s="29"/>
      <c r="C10" s="212" t="s">
        <v>79</v>
      </c>
      <c r="D10" s="212"/>
      <c r="E10" s="212"/>
      <c r="F10" s="212"/>
      <c r="G10" s="214" t="s">
        <v>1306</v>
      </c>
      <c r="H10" s="214"/>
      <c r="I10" s="214"/>
      <c r="J10" s="214"/>
      <c r="K10" s="215"/>
      <c r="L10" s="211"/>
      <c r="M10" s="211"/>
      <c r="N10" s="211"/>
      <c r="O10" s="211"/>
      <c r="P10" s="211"/>
      <c r="W10" s="73"/>
      <c r="BC10" s="49" t="s">
        <v>131</v>
      </c>
      <c r="BD10" s="50" t="s">
        <v>1294</v>
      </c>
      <c r="BE10" s="50" t="s">
        <v>125</v>
      </c>
      <c r="BF10" s="51" t="s">
        <v>126</v>
      </c>
    </row>
    <row r="11" spans="2:112" ht="18.75" customHeight="1" x14ac:dyDescent="0.3">
      <c r="B11" s="205" t="s">
        <v>132</v>
      </c>
      <c r="C11" s="207" t="s">
        <v>80</v>
      </c>
      <c r="D11" s="207"/>
      <c r="E11" s="207"/>
      <c r="F11" s="207"/>
      <c r="G11" s="206"/>
      <c r="H11" s="206"/>
      <c r="I11" s="206"/>
      <c r="J11" s="206"/>
      <c r="K11" s="206"/>
      <c r="L11" s="204"/>
      <c r="M11" s="204"/>
      <c r="N11" s="204"/>
      <c r="O11" s="204"/>
      <c r="P11" s="204"/>
      <c r="W11" s="73"/>
      <c r="BC11" s="52" t="s">
        <v>131</v>
      </c>
      <c r="BD11" s="41" t="s">
        <v>1295</v>
      </c>
      <c r="BE11" s="41">
        <f>$D$56</f>
        <v>0</v>
      </c>
      <c r="BF11" s="53">
        <f>$I$56</f>
        <v>0</v>
      </c>
    </row>
    <row r="12" spans="2:112" ht="18.75" customHeight="1" x14ac:dyDescent="0.3">
      <c r="B12" s="205"/>
      <c r="C12" s="207" t="s">
        <v>81</v>
      </c>
      <c r="D12" s="207"/>
      <c r="E12" s="207"/>
      <c r="F12" s="207"/>
      <c r="G12" s="206"/>
      <c r="H12" s="206"/>
      <c r="I12" s="206"/>
      <c r="J12" s="206"/>
      <c r="K12" s="206"/>
      <c r="L12" s="204"/>
      <c r="M12" s="204"/>
      <c r="N12" s="204"/>
      <c r="O12" s="204"/>
      <c r="P12" s="204"/>
      <c r="W12" s="73"/>
      <c r="BC12" s="52" t="s">
        <v>131</v>
      </c>
      <c r="BD12" s="41" t="s">
        <v>1296</v>
      </c>
      <c r="BE12" s="41" t="s">
        <v>109</v>
      </c>
      <c r="BF12" s="53" t="s">
        <v>103</v>
      </c>
    </row>
    <row r="13" spans="2:112" ht="18.75" customHeight="1" x14ac:dyDescent="0.3">
      <c r="B13" s="205"/>
      <c r="C13" s="207" t="s">
        <v>82</v>
      </c>
      <c r="D13" s="207"/>
      <c r="E13" s="207"/>
      <c r="F13" s="207"/>
      <c r="G13" s="206"/>
      <c r="H13" s="206"/>
      <c r="I13" s="206"/>
      <c r="J13" s="206"/>
      <c r="K13" s="206"/>
      <c r="L13" s="208"/>
      <c r="M13" s="209"/>
      <c r="N13" s="209"/>
      <c r="O13" s="209"/>
      <c r="P13" s="209"/>
      <c r="W13" s="73"/>
      <c r="BC13" s="52" t="s">
        <v>131</v>
      </c>
      <c r="BD13" s="41" t="s">
        <v>129</v>
      </c>
      <c r="BE13" s="41" t="s">
        <v>125</v>
      </c>
      <c r="BF13" s="53" t="s">
        <v>126</v>
      </c>
    </row>
    <row r="14" spans="2:112" ht="15.75" customHeight="1" x14ac:dyDescent="0.3">
      <c r="B14" s="70"/>
      <c r="C14" s="30"/>
      <c r="D14" s="30"/>
      <c r="E14" s="30"/>
      <c r="F14" s="30"/>
      <c r="L14" s="204"/>
      <c r="M14" s="204"/>
      <c r="N14" s="204"/>
      <c r="O14" s="204"/>
      <c r="P14" s="204"/>
      <c r="BC14" s="49" t="s">
        <v>134</v>
      </c>
      <c r="BD14" s="50" t="s">
        <v>1294</v>
      </c>
      <c r="BE14" s="50" t="s">
        <v>125</v>
      </c>
      <c r="BF14" s="51" t="s">
        <v>126</v>
      </c>
    </row>
    <row r="15" spans="2:112" ht="15.75" customHeight="1" x14ac:dyDescent="0.3">
      <c r="B15" s="70"/>
      <c r="C15" s="30"/>
      <c r="D15" s="30"/>
      <c r="E15" s="30"/>
      <c r="F15" s="30"/>
      <c r="L15" s="204"/>
      <c r="M15" s="204"/>
      <c r="N15" s="204"/>
      <c r="O15" s="204"/>
      <c r="P15" s="204"/>
      <c r="BC15" s="52" t="s">
        <v>134</v>
      </c>
      <c r="BD15" s="41" t="s">
        <v>1295</v>
      </c>
      <c r="BE15" s="41">
        <f>$D$56</f>
        <v>0</v>
      </c>
      <c r="BF15" s="53">
        <f>$I$56</f>
        <v>0</v>
      </c>
    </row>
    <row r="16" spans="2:112" ht="15.75" customHeight="1" x14ac:dyDescent="0.3">
      <c r="B16" s="31" t="s">
        <v>231</v>
      </c>
      <c r="C16" s="31"/>
      <c r="D16" s="31"/>
      <c r="E16" s="31"/>
      <c r="F16" s="31"/>
      <c r="G16" s="10"/>
      <c r="L16" s="204"/>
      <c r="M16" s="204"/>
      <c r="N16" s="204"/>
      <c r="O16" s="204"/>
      <c r="P16" s="204"/>
      <c r="BC16" s="52" t="s">
        <v>134</v>
      </c>
      <c r="BD16" s="41" t="s">
        <v>1296</v>
      </c>
      <c r="BE16" s="41" t="s">
        <v>109</v>
      </c>
      <c r="BF16" s="53" t="s">
        <v>103</v>
      </c>
    </row>
    <row r="17" spans="2:58" ht="9.75" customHeight="1" x14ac:dyDescent="0.3">
      <c r="B17" s="70"/>
      <c r="C17" s="30"/>
      <c r="D17" s="30"/>
      <c r="E17" s="30"/>
      <c r="F17" s="30"/>
      <c r="L17" s="223"/>
      <c r="M17" s="223"/>
      <c r="N17" s="223"/>
      <c r="O17" s="223"/>
      <c r="P17" s="223"/>
      <c r="BC17" s="52" t="s">
        <v>134</v>
      </c>
      <c r="BD17" s="41" t="s">
        <v>129</v>
      </c>
      <c r="BE17" s="41" t="s">
        <v>125</v>
      </c>
      <c r="BF17" s="53" t="s">
        <v>126</v>
      </c>
    </row>
    <row r="18" spans="2:58" ht="15.75" customHeight="1" x14ac:dyDescent="0.3">
      <c r="B18" s="224" t="s">
        <v>1307</v>
      </c>
      <c r="C18" s="225"/>
      <c r="D18" s="225"/>
      <c r="E18" s="225"/>
      <c r="F18" s="225"/>
      <c r="G18" s="225"/>
      <c r="H18" s="225"/>
      <c r="I18" s="225"/>
      <c r="J18" s="225"/>
      <c r="K18" s="225"/>
      <c r="L18" s="225"/>
      <c r="M18" s="225"/>
      <c r="N18" s="226"/>
      <c r="O18" s="227" t="s">
        <v>36</v>
      </c>
      <c r="P18" s="228"/>
      <c r="R18" s="71" t="s">
        <v>1308</v>
      </c>
      <c r="S18" s="219" t="s">
        <v>1346</v>
      </c>
      <c r="T18" s="220"/>
      <c r="U18" s="29"/>
      <c r="V18" s="29"/>
      <c r="W18" s="29"/>
      <c r="X18" s="29"/>
      <c r="Y18" s="29"/>
      <c r="Z18" s="29"/>
      <c r="AA18" s="29"/>
      <c r="AB18" s="29"/>
      <c r="AC18" s="29"/>
      <c r="AD18" s="29"/>
      <c r="BC18" s="52" t="s">
        <v>134</v>
      </c>
      <c r="BD18" s="41" t="s">
        <v>104</v>
      </c>
      <c r="BE18" s="41" t="s">
        <v>133</v>
      </c>
      <c r="BF18" s="53" t="s">
        <v>107</v>
      </c>
    </row>
    <row r="19" spans="2:58" ht="19.5" customHeight="1" x14ac:dyDescent="0.3">
      <c r="B19" s="31"/>
      <c r="C19" s="31"/>
      <c r="D19" s="31"/>
      <c r="E19" s="31"/>
      <c r="F19" s="31"/>
      <c r="G19" s="10"/>
      <c r="H19" s="10"/>
      <c r="I19" s="10"/>
      <c r="J19" s="10"/>
      <c r="K19" s="10"/>
      <c r="L19" s="10"/>
      <c r="M19" s="10"/>
      <c r="N19" s="10"/>
      <c r="O19" s="10"/>
      <c r="P19" s="10"/>
      <c r="R19" s="222" t="str">
        <f>IF(S18="Otro","Indique cual",IF(S18="AWS","Adjunte documento de configuración generado por AWS."," "))</f>
        <v>Adjunte documento de configuración generado por AWS.</v>
      </c>
      <c r="S19" s="222"/>
      <c r="T19" s="222"/>
      <c r="U19" s="222"/>
      <c r="V19" s="222"/>
      <c r="W19" s="222"/>
      <c r="X19" s="222"/>
      <c r="Y19" s="222"/>
      <c r="Z19" s="222"/>
      <c r="AA19" s="222"/>
      <c r="BC19" s="52" t="s">
        <v>134</v>
      </c>
      <c r="BD19" s="41" t="s">
        <v>105</v>
      </c>
      <c r="BE19" s="41">
        <f>$D$56</f>
        <v>0</v>
      </c>
      <c r="BF19" s="53">
        <f>$I$56</f>
        <v>0</v>
      </c>
    </row>
    <row r="20" spans="2:58" ht="15.75" customHeight="1" thickBot="1" x14ac:dyDescent="0.35">
      <c r="B20" s="224" t="s">
        <v>1301</v>
      </c>
      <c r="C20" s="225"/>
      <c r="D20" s="225"/>
      <c r="E20" s="225"/>
      <c r="F20" s="225"/>
      <c r="G20" s="225"/>
      <c r="H20" s="225"/>
      <c r="I20" s="225"/>
      <c r="J20" s="225"/>
      <c r="K20" s="225"/>
      <c r="L20" s="225"/>
      <c r="M20" s="225"/>
      <c r="N20" s="226"/>
      <c r="O20" s="227" t="s">
        <v>36</v>
      </c>
      <c r="P20" s="228"/>
      <c r="R20" s="221"/>
      <c r="S20" s="221"/>
      <c r="T20" s="221"/>
      <c r="U20" s="221"/>
      <c r="BC20" s="52" t="s">
        <v>134</v>
      </c>
      <c r="BD20" s="41" t="s">
        <v>106</v>
      </c>
      <c r="BE20" s="63">
        <v>443</v>
      </c>
      <c r="BF20" s="63">
        <v>443</v>
      </c>
    </row>
    <row r="21" spans="2:58" ht="15.75" customHeight="1" x14ac:dyDescent="0.3">
      <c r="B21" s="29"/>
      <c r="BC21" s="57" t="s">
        <v>135</v>
      </c>
      <c r="BD21" s="58" t="s">
        <v>1294</v>
      </c>
      <c r="BE21" s="58" t="s">
        <v>125</v>
      </c>
      <c r="BF21" s="59" t="s">
        <v>126</v>
      </c>
    </row>
    <row r="22" spans="2:58" ht="15.75" customHeight="1" x14ac:dyDescent="0.3">
      <c r="B22" s="229" t="s">
        <v>223</v>
      </c>
      <c r="C22" s="229"/>
      <c r="D22" s="229"/>
      <c r="E22" s="229"/>
      <c r="F22" s="229"/>
      <c r="G22" s="229"/>
      <c r="H22" s="229"/>
      <c r="I22" s="229"/>
      <c r="J22" s="229"/>
      <c r="K22" s="229"/>
      <c r="L22" s="229"/>
      <c r="M22" s="229"/>
      <c r="N22" s="229"/>
      <c r="O22" s="229"/>
      <c r="P22" s="229"/>
      <c r="BC22" s="60" t="s">
        <v>135</v>
      </c>
      <c r="BD22" s="41" t="s">
        <v>1295</v>
      </c>
      <c r="BE22" s="41">
        <f>$D$56</f>
        <v>0</v>
      </c>
      <c r="BF22" s="61">
        <f>$I$56</f>
        <v>0</v>
      </c>
    </row>
    <row r="23" spans="2:58" ht="15.75" customHeight="1" x14ac:dyDescent="0.3">
      <c r="B23" s="42" t="s">
        <v>224</v>
      </c>
      <c r="BC23" s="60" t="s">
        <v>135</v>
      </c>
      <c r="BD23" s="41" t="s">
        <v>1296</v>
      </c>
      <c r="BE23" s="41" t="s">
        <v>109</v>
      </c>
      <c r="BF23" s="61" t="s">
        <v>103</v>
      </c>
    </row>
    <row r="24" spans="2:58" ht="36.9" customHeight="1" x14ac:dyDescent="0.3">
      <c r="B24" s="230" t="s">
        <v>83</v>
      </c>
      <c r="C24" s="231"/>
      <c r="D24" s="231"/>
      <c r="E24" s="231"/>
      <c r="F24" s="232"/>
      <c r="G24" s="230" t="s">
        <v>84</v>
      </c>
      <c r="H24" s="231"/>
      <c r="I24" s="231"/>
      <c r="J24" s="231"/>
      <c r="K24" s="232"/>
      <c r="L24" s="230" t="str">
        <f>IF(O20="SI","Terminador VPN del Cliente","Terminador VPN del Cliente en Producción")</f>
        <v>Terminador VPN del Cliente en Producción</v>
      </c>
      <c r="M24" s="231"/>
      <c r="N24" s="231"/>
      <c r="O24" s="231"/>
      <c r="P24" s="232"/>
      <c r="Q24" s="230" t="s">
        <v>137</v>
      </c>
      <c r="R24" s="231"/>
      <c r="S24" s="231"/>
      <c r="T24" s="231"/>
      <c r="U24" s="232"/>
      <c r="BC24" s="60" t="s">
        <v>135</v>
      </c>
      <c r="BD24" s="41" t="s">
        <v>129</v>
      </c>
      <c r="BE24" s="41" t="s">
        <v>125</v>
      </c>
      <c r="BF24" s="61" t="s">
        <v>126</v>
      </c>
    </row>
    <row r="25" spans="2:58" ht="15.9" customHeight="1" x14ac:dyDescent="0.3">
      <c r="B25" s="235" t="s">
        <v>1337</v>
      </c>
      <c r="C25" s="236"/>
      <c r="D25" s="236"/>
      <c r="E25" s="236"/>
      <c r="F25" s="237"/>
      <c r="G25" s="216" t="s">
        <v>85</v>
      </c>
      <c r="H25" s="217"/>
      <c r="I25" s="217"/>
      <c r="J25" s="217"/>
      <c r="K25" s="218"/>
      <c r="L25" s="219"/>
      <c r="M25" s="233"/>
      <c r="N25" s="233"/>
      <c r="O25" s="233"/>
      <c r="P25" s="220"/>
      <c r="Q25" s="227"/>
      <c r="R25" s="234"/>
      <c r="S25" s="234"/>
      <c r="T25" s="234"/>
      <c r="U25" s="228"/>
      <c r="BC25" s="60" t="s">
        <v>135</v>
      </c>
      <c r="BD25" s="41" t="s">
        <v>104</v>
      </c>
      <c r="BE25" s="41">
        <f>$D$56</f>
        <v>0</v>
      </c>
      <c r="BF25" s="61">
        <f>$I$56</f>
        <v>0</v>
      </c>
    </row>
    <row r="26" spans="2:58" ht="15.75" customHeight="1" x14ac:dyDescent="0.3">
      <c r="B26" s="235" t="s">
        <v>139</v>
      </c>
      <c r="C26" s="236"/>
      <c r="D26" s="236"/>
      <c r="E26" s="236"/>
      <c r="F26" s="237"/>
      <c r="G26" s="216" t="s">
        <v>108</v>
      </c>
      <c r="H26" s="217"/>
      <c r="I26" s="217"/>
      <c r="J26" s="217"/>
      <c r="K26" s="218"/>
      <c r="L26" s="213"/>
      <c r="M26" s="213"/>
      <c r="N26" s="213"/>
      <c r="O26" s="213"/>
      <c r="P26" s="213"/>
      <c r="Q26" s="204"/>
      <c r="R26" s="204"/>
      <c r="S26" s="204"/>
      <c r="T26" s="204"/>
      <c r="U26" s="204"/>
      <c r="BC26" s="60" t="s">
        <v>135</v>
      </c>
      <c r="BD26" s="41" t="s">
        <v>138</v>
      </c>
      <c r="BE26" s="41" t="s">
        <v>125</v>
      </c>
      <c r="BF26" s="61" t="s">
        <v>126</v>
      </c>
    </row>
    <row r="27" spans="2:58" ht="15.75" customHeight="1" x14ac:dyDescent="0.3">
      <c r="B27" s="235" t="s">
        <v>140</v>
      </c>
      <c r="C27" s="236"/>
      <c r="D27" s="236"/>
      <c r="E27" s="236"/>
      <c r="F27" s="237"/>
      <c r="G27" s="238" t="s">
        <v>86</v>
      </c>
      <c r="H27" s="238"/>
      <c r="I27" s="238"/>
      <c r="J27" s="238"/>
      <c r="K27" s="238"/>
      <c r="L27" s="239"/>
      <c r="M27" s="239"/>
      <c r="N27" s="239"/>
      <c r="O27" s="239"/>
      <c r="P27" s="239"/>
      <c r="Q27" s="206"/>
      <c r="R27" s="206"/>
      <c r="S27" s="206"/>
      <c r="T27" s="206"/>
      <c r="U27" s="206"/>
      <c r="BB27" t="s">
        <v>1352</v>
      </c>
      <c r="BC27" s="60" t="s">
        <v>135</v>
      </c>
      <c r="BD27" s="41" t="s">
        <v>104</v>
      </c>
      <c r="BE27" s="41" t="s">
        <v>112</v>
      </c>
      <c r="BF27" s="61" t="s">
        <v>111</v>
      </c>
    </row>
    <row r="28" spans="2:58" ht="15.75" customHeight="1" x14ac:dyDescent="0.3">
      <c r="B28" s="31"/>
      <c r="C28" s="31"/>
      <c r="D28" s="31"/>
      <c r="E28" s="31"/>
      <c r="F28" s="31"/>
      <c r="G28" s="10"/>
      <c r="H28" s="10"/>
      <c r="I28" s="10"/>
      <c r="J28" s="10"/>
      <c r="K28" s="10"/>
      <c r="L28" s="10"/>
      <c r="M28" s="10"/>
      <c r="N28" s="10"/>
      <c r="O28" s="10"/>
      <c r="P28" s="10"/>
      <c r="BC28" s="60" t="s">
        <v>135</v>
      </c>
      <c r="BD28" s="41" t="s">
        <v>105</v>
      </c>
      <c r="BE28" s="41">
        <f>$D$56</f>
        <v>0</v>
      </c>
      <c r="BF28" s="61">
        <f>$I$56</f>
        <v>0</v>
      </c>
    </row>
    <row r="29" spans="2:58" ht="15.75" customHeight="1" thickBot="1" x14ac:dyDescent="0.35">
      <c r="B29" s="32" t="s">
        <v>225</v>
      </c>
      <c r="BC29" s="62" t="s">
        <v>135</v>
      </c>
      <c r="BD29" s="63" t="s">
        <v>106</v>
      </c>
      <c r="BE29" s="63">
        <v>443</v>
      </c>
      <c r="BF29" s="64">
        <v>443</v>
      </c>
    </row>
    <row r="30" spans="2:58" ht="15.75" customHeight="1" x14ac:dyDescent="0.3">
      <c r="B30" s="32"/>
      <c r="BC30" s="41"/>
      <c r="BD30" s="41"/>
      <c r="BE30" s="41"/>
      <c r="BF30" s="41"/>
    </row>
    <row r="31" spans="2:58" ht="36.9" customHeight="1" thickBot="1" x14ac:dyDescent="0.35">
      <c r="B31" s="33"/>
      <c r="C31" s="215" t="s">
        <v>87</v>
      </c>
      <c r="D31" s="274"/>
      <c r="E31" s="274"/>
      <c r="F31" s="274"/>
      <c r="G31" s="274"/>
      <c r="H31" s="274"/>
      <c r="I31" s="274"/>
      <c r="J31" s="275"/>
      <c r="K31" s="230" t="s">
        <v>136</v>
      </c>
      <c r="L31" s="231"/>
      <c r="M31" s="231"/>
      <c r="N31" s="231"/>
      <c r="O31" s="231"/>
      <c r="P31" s="232"/>
      <c r="Q31" s="230" t="s">
        <v>137</v>
      </c>
      <c r="R31" s="231"/>
      <c r="S31" s="231"/>
      <c r="T31" s="231"/>
      <c r="U31" s="231"/>
      <c r="V31" s="232"/>
    </row>
    <row r="32" spans="2:58" ht="15.9" customHeight="1" x14ac:dyDescent="0.3">
      <c r="B32" s="240" t="s">
        <v>1302</v>
      </c>
      <c r="C32" s="243" t="s">
        <v>88</v>
      </c>
      <c r="D32" s="244"/>
      <c r="E32" s="244"/>
      <c r="F32" s="244"/>
      <c r="G32" s="244"/>
      <c r="H32" s="244"/>
      <c r="I32" s="244"/>
      <c r="J32" s="245"/>
      <c r="K32" s="246" t="s">
        <v>89</v>
      </c>
      <c r="L32" s="246"/>
      <c r="M32" s="246"/>
      <c r="N32" s="246"/>
      <c r="O32" s="246"/>
      <c r="P32" s="246"/>
      <c r="Q32" s="246" t="s">
        <v>89</v>
      </c>
      <c r="R32" s="246"/>
      <c r="S32" s="246"/>
      <c r="T32" s="246"/>
      <c r="U32" s="246"/>
      <c r="V32" s="246"/>
    </row>
    <row r="33" spans="2:30" ht="15" x14ac:dyDescent="0.3">
      <c r="B33" s="241"/>
      <c r="C33" s="243" t="s">
        <v>1297</v>
      </c>
      <c r="D33" s="244"/>
      <c r="E33" s="244"/>
      <c r="F33" s="244"/>
      <c r="G33" s="244"/>
      <c r="H33" s="244"/>
      <c r="I33" s="244"/>
      <c r="J33" s="245"/>
      <c r="K33" s="246" t="s">
        <v>1338</v>
      </c>
      <c r="L33" s="246"/>
      <c r="M33" s="246"/>
      <c r="N33" s="246"/>
      <c r="O33" s="246"/>
      <c r="P33" s="246"/>
      <c r="Q33" s="246" t="s">
        <v>1338</v>
      </c>
      <c r="R33" s="246"/>
      <c r="S33" s="246"/>
      <c r="T33" s="246"/>
      <c r="U33" s="246"/>
      <c r="V33" s="246"/>
    </row>
    <row r="34" spans="2:30" ht="15" x14ac:dyDescent="0.3">
      <c r="B34" s="241"/>
      <c r="C34" s="243" t="s">
        <v>90</v>
      </c>
      <c r="D34" s="244"/>
      <c r="E34" s="244"/>
      <c r="F34" s="244"/>
      <c r="G34" s="244"/>
      <c r="H34" s="244"/>
      <c r="I34" s="244"/>
      <c r="J34" s="245"/>
      <c r="K34" s="213" t="s">
        <v>1353</v>
      </c>
      <c r="L34" s="213"/>
      <c r="M34" s="213"/>
      <c r="N34" s="213"/>
      <c r="O34" s="213"/>
      <c r="P34" s="213"/>
      <c r="Q34" s="213" t="str">
        <f>K34</f>
        <v>[RECOMENDADO GRUPO 20]</v>
      </c>
      <c r="R34" s="213"/>
      <c r="S34" s="213"/>
      <c r="T34" s="213"/>
      <c r="U34" s="213"/>
      <c r="V34" s="213"/>
    </row>
    <row r="35" spans="2:30" ht="15.75" customHeight="1" x14ac:dyDescent="0.3">
      <c r="B35" s="241"/>
      <c r="C35" s="243" t="s">
        <v>1298</v>
      </c>
      <c r="D35" s="244"/>
      <c r="E35" s="244"/>
      <c r="F35" s="244"/>
      <c r="G35" s="244"/>
      <c r="H35" s="244"/>
      <c r="I35" s="244"/>
      <c r="J35" s="245"/>
      <c r="K35" s="213" t="s">
        <v>91</v>
      </c>
      <c r="L35" s="213"/>
      <c r="M35" s="213"/>
      <c r="N35" s="213"/>
      <c r="O35" s="213"/>
      <c r="P35" s="213"/>
      <c r="Q35" s="213" t="str">
        <f t="shared" ref="Q35:Q41" si="0">K35</f>
        <v>[RECOMENDADO AES256]</v>
      </c>
      <c r="R35" s="213"/>
      <c r="S35" s="213"/>
      <c r="T35" s="213"/>
      <c r="U35" s="213"/>
      <c r="V35" s="213"/>
    </row>
    <row r="36" spans="2:30" ht="15.75" customHeight="1" x14ac:dyDescent="0.3">
      <c r="B36" s="241"/>
      <c r="C36" s="243" t="s">
        <v>92</v>
      </c>
      <c r="D36" s="244"/>
      <c r="E36" s="244"/>
      <c r="F36" s="244"/>
      <c r="G36" s="244"/>
      <c r="H36" s="244"/>
      <c r="I36" s="244"/>
      <c r="J36" s="245"/>
      <c r="K36" s="213" t="s">
        <v>1354</v>
      </c>
      <c r="L36" s="213"/>
      <c r="M36" s="213"/>
      <c r="N36" s="213"/>
      <c r="O36" s="213"/>
      <c r="P36" s="213"/>
      <c r="Q36" s="213" t="str">
        <f t="shared" si="0"/>
        <v>[RECOMENDADO SHA-384]</v>
      </c>
      <c r="R36" s="213"/>
      <c r="S36" s="213"/>
      <c r="T36" s="213"/>
      <c r="U36" s="213"/>
      <c r="V36" s="213"/>
    </row>
    <row r="37" spans="2:30" ht="15.75" customHeight="1" x14ac:dyDescent="0.3">
      <c r="B37" s="241"/>
      <c r="C37" s="243" t="s">
        <v>93</v>
      </c>
      <c r="D37" s="244"/>
      <c r="E37" s="244"/>
      <c r="F37" s="244"/>
      <c r="G37" s="244"/>
      <c r="H37" s="244"/>
      <c r="I37" s="244"/>
      <c r="J37" s="245"/>
      <c r="K37" s="213" t="s">
        <v>94</v>
      </c>
      <c r="L37" s="213"/>
      <c r="M37" s="213"/>
      <c r="N37" s="213"/>
      <c r="O37" s="213"/>
      <c r="P37" s="213"/>
      <c r="Q37" s="213" t="str">
        <f t="shared" si="0"/>
        <v>[RECOMENDADO MAIN]</v>
      </c>
      <c r="R37" s="213"/>
      <c r="S37" s="213"/>
      <c r="T37" s="213"/>
      <c r="U37" s="213"/>
      <c r="V37" s="213"/>
    </row>
    <row r="38" spans="2:30" ht="15.75" customHeight="1" thickBot="1" x14ac:dyDescent="0.35">
      <c r="B38" s="242"/>
      <c r="C38" s="243" t="s">
        <v>95</v>
      </c>
      <c r="D38" s="244"/>
      <c r="E38" s="244"/>
      <c r="F38" s="244"/>
      <c r="G38" s="244"/>
      <c r="H38" s="244"/>
      <c r="I38" s="244"/>
      <c r="J38" s="245"/>
      <c r="K38" s="213" t="s">
        <v>96</v>
      </c>
      <c r="L38" s="213"/>
      <c r="M38" s="213"/>
      <c r="N38" s="213"/>
      <c r="O38" s="213"/>
      <c r="P38" s="213"/>
      <c r="Q38" s="213" t="str">
        <f t="shared" si="0"/>
        <v>[RECOMENDADO 86400 S]</v>
      </c>
      <c r="R38" s="213"/>
      <c r="S38" s="213"/>
      <c r="T38" s="213"/>
      <c r="U38" s="213"/>
      <c r="V38" s="213"/>
    </row>
    <row r="39" spans="2:30" ht="15.75" customHeight="1" x14ac:dyDescent="0.3">
      <c r="B39" s="273" t="s">
        <v>1303</v>
      </c>
      <c r="C39" s="243" t="s">
        <v>97</v>
      </c>
      <c r="D39" s="244"/>
      <c r="E39" s="244"/>
      <c r="F39" s="244"/>
      <c r="G39" s="244"/>
      <c r="H39" s="244"/>
      <c r="I39" s="244"/>
      <c r="J39" s="245"/>
      <c r="K39" s="213" t="s">
        <v>98</v>
      </c>
      <c r="L39" s="213"/>
      <c r="M39" s="213"/>
      <c r="N39" s="213"/>
      <c r="O39" s="213"/>
      <c r="P39" s="213"/>
      <c r="Q39" s="213" t="str">
        <f t="shared" si="0"/>
        <v>[RECOMENDADO ESP]</v>
      </c>
      <c r="R39" s="213"/>
      <c r="S39" s="213"/>
      <c r="T39" s="213"/>
      <c r="U39" s="213"/>
      <c r="V39" s="213"/>
    </row>
    <row r="40" spans="2:30" ht="15.75" customHeight="1" x14ac:dyDescent="0.3">
      <c r="B40" s="241"/>
      <c r="C40" s="243" t="s">
        <v>1298</v>
      </c>
      <c r="D40" s="244"/>
      <c r="E40" s="244"/>
      <c r="F40" s="244"/>
      <c r="G40" s="244"/>
      <c r="H40" s="244"/>
      <c r="I40" s="244"/>
      <c r="J40" s="245"/>
      <c r="K40" s="213" t="s">
        <v>91</v>
      </c>
      <c r="L40" s="213"/>
      <c r="M40" s="213"/>
      <c r="N40" s="213"/>
      <c r="O40" s="213"/>
      <c r="P40" s="213"/>
      <c r="Q40" s="213" t="str">
        <f t="shared" si="0"/>
        <v>[RECOMENDADO AES256]</v>
      </c>
      <c r="R40" s="213"/>
      <c r="S40" s="213"/>
      <c r="T40" s="213"/>
      <c r="U40" s="213"/>
      <c r="V40" s="213"/>
    </row>
    <row r="41" spans="2:30" ht="15.75" customHeight="1" x14ac:dyDescent="0.3">
      <c r="B41" s="241"/>
      <c r="C41" s="243" t="s">
        <v>99</v>
      </c>
      <c r="D41" s="244"/>
      <c r="E41" s="244"/>
      <c r="F41" s="244"/>
      <c r="G41" s="244"/>
      <c r="H41" s="244"/>
      <c r="I41" s="244"/>
      <c r="J41" s="245"/>
      <c r="K41" s="213" t="s">
        <v>1355</v>
      </c>
      <c r="L41" s="213"/>
      <c r="M41" s="213"/>
      <c r="N41" s="213"/>
      <c r="O41" s="213"/>
      <c r="P41" s="213"/>
      <c r="Q41" s="213" t="str">
        <f t="shared" si="0"/>
        <v>[RECOMENDADO SHA-256]</v>
      </c>
      <c r="R41" s="213"/>
      <c r="S41" s="213"/>
      <c r="T41" s="213"/>
      <c r="U41" s="213"/>
      <c r="V41" s="213"/>
    </row>
    <row r="42" spans="2:30" ht="15.75" customHeight="1" x14ac:dyDescent="0.3">
      <c r="B42" s="241"/>
      <c r="C42" s="243" t="s">
        <v>100</v>
      </c>
      <c r="D42" s="244"/>
      <c r="E42" s="244"/>
      <c r="F42" s="244"/>
      <c r="G42" s="244"/>
      <c r="H42" s="244"/>
      <c r="I42" s="244"/>
      <c r="J42" s="245"/>
      <c r="K42" s="246" t="s">
        <v>1339</v>
      </c>
      <c r="L42" s="246"/>
      <c r="M42" s="246"/>
      <c r="N42" s="246"/>
      <c r="O42" s="246"/>
      <c r="P42" s="246"/>
      <c r="Q42" s="246" t="s">
        <v>1339</v>
      </c>
      <c r="R42" s="246"/>
      <c r="S42" s="246"/>
      <c r="T42" s="246"/>
      <c r="U42" s="246"/>
      <c r="V42" s="246"/>
    </row>
    <row r="43" spans="2:30" ht="15.75" customHeight="1" thickBot="1" x14ac:dyDescent="0.35">
      <c r="B43" s="242"/>
      <c r="C43" s="243" t="s">
        <v>95</v>
      </c>
      <c r="D43" s="244"/>
      <c r="E43" s="244"/>
      <c r="F43" s="244"/>
      <c r="G43" s="244"/>
      <c r="H43" s="244"/>
      <c r="I43" s="244"/>
      <c r="J43" s="245"/>
      <c r="K43" s="213" t="s">
        <v>101</v>
      </c>
      <c r="L43" s="213"/>
      <c r="M43" s="213"/>
      <c r="N43" s="213"/>
      <c r="O43" s="213"/>
      <c r="P43" s="213"/>
      <c r="Q43" s="213" t="str">
        <f>K43</f>
        <v>[RECOMENDADO 3600 S]</v>
      </c>
      <c r="R43" s="213"/>
      <c r="S43" s="213"/>
      <c r="T43" s="213"/>
      <c r="U43" s="213"/>
      <c r="V43" s="213"/>
    </row>
    <row r="44" spans="2:30" ht="15.75" customHeight="1" x14ac:dyDescent="0.3">
      <c r="B44" s="29"/>
    </row>
    <row r="45" spans="2:30" ht="15.75" customHeight="1" thickBot="1" x14ac:dyDescent="0.35">
      <c r="B45" s="29" t="s">
        <v>141</v>
      </c>
    </row>
    <row r="46" spans="2:30" ht="15.75" customHeight="1" x14ac:dyDescent="0.3">
      <c r="B46" s="29" t="s">
        <v>142</v>
      </c>
      <c r="P46" s="266" t="s">
        <v>1304</v>
      </c>
      <c r="Q46" s="252"/>
      <c r="R46" s="252"/>
      <c r="S46" s="252"/>
      <c r="T46" s="252"/>
      <c r="U46" s="68"/>
      <c r="V46" s="68"/>
      <c r="W46" s="68"/>
      <c r="X46" s="68"/>
      <c r="Y46" s="68"/>
      <c r="Z46" s="252">
        <f>G3</f>
        <v>0</v>
      </c>
      <c r="AA46" s="252"/>
      <c r="AB46" s="252"/>
      <c r="AC46" s="252"/>
      <c r="AD46" s="253"/>
    </row>
    <row r="47" spans="2:30" ht="15.75" customHeight="1" x14ac:dyDescent="0.3">
      <c r="B47" s="29" t="s">
        <v>143</v>
      </c>
      <c r="P47" s="65"/>
      <c r="T47" s="259" t="str">
        <f>G26</f>
        <v>200.1.124.131</v>
      </c>
      <c r="U47" s="259"/>
      <c r="V47" s="259"/>
      <c r="X47" s="258">
        <f>L26</f>
        <v>0</v>
      </c>
      <c r="Y47" s="258"/>
      <c r="Z47" s="258"/>
      <c r="AD47" s="66"/>
    </row>
    <row r="48" spans="2:30" ht="15.75" customHeight="1" x14ac:dyDescent="0.3">
      <c r="B48" s="29"/>
      <c r="P48" s="65"/>
      <c r="AD48" s="66"/>
    </row>
    <row r="49" spans="1:53" ht="15.75" customHeight="1" x14ac:dyDescent="0.3">
      <c r="B49" s="42" t="s">
        <v>1299</v>
      </c>
      <c r="P49" s="65"/>
      <c r="AD49" s="66"/>
    </row>
    <row r="50" spans="1:53" ht="15.75" customHeight="1" x14ac:dyDescent="0.3">
      <c r="B50" s="34" t="str">
        <f>IF(O20="SI","El comercio debe asignar la “IP_1” que debe cumplir con los siguientes requisitos:","El comercio debe asignar la “IP_1” y “IP_2” que debe cumplir con los siguientes requisitos")</f>
        <v>El comercio debe asignar la “IP_1” y “IP_2” que debe cumplir con los siguientes requisitos</v>
      </c>
      <c r="P50" s="65"/>
      <c r="AD50" s="66"/>
    </row>
    <row r="51" spans="1:53" ht="15.75" customHeight="1" x14ac:dyDescent="0.3">
      <c r="B51" s="43" t="s">
        <v>226</v>
      </c>
      <c r="P51" s="65"/>
      <c r="AD51" s="66"/>
    </row>
    <row r="52" spans="1:53" ht="15.75" customHeight="1" x14ac:dyDescent="0.3">
      <c r="B52" s="44" t="s">
        <v>227</v>
      </c>
      <c r="P52" s="65"/>
      <c r="R52" s="259" t="str">
        <f>D57</f>
        <v>Seleccione el Servicio</v>
      </c>
      <c r="S52" s="259"/>
      <c r="T52" s="259"/>
      <c r="Z52" s="222">
        <f>D56</f>
        <v>0</v>
      </c>
      <c r="AA52" s="222"/>
      <c r="AB52" s="222"/>
      <c r="AD52" s="66"/>
    </row>
    <row r="53" spans="1:53" ht="15.75" customHeight="1" thickBot="1" x14ac:dyDescent="0.35">
      <c r="B53" s="44" t="s">
        <v>1300</v>
      </c>
      <c r="P53" s="254" t="str">
        <f>IF($G$5="PSE PAGOS CONEXIÓN EN LÍNEA",#REF!,IF($G$5="PSE PAGOS CONEXIÓN INTEGRADA DE FACTURAS",BE18,IF($G$5="PSE DESARROLLO DIRECTO",#REF!,IF($G$5="PSE CANAL DE CONTINGENCIA",BE8,"Seleccione el Servicio"))))</f>
        <v>Seleccione el Servicio</v>
      </c>
      <c r="Q53" s="255"/>
      <c r="R53" s="255"/>
      <c r="S53" s="67"/>
      <c r="T53" s="67"/>
      <c r="U53" s="67"/>
      <c r="V53" s="67"/>
      <c r="W53" s="67"/>
      <c r="X53" s="67"/>
      <c r="Y53" s="67"/>
      <c r="Z53" s="67"/>
      <c r="AA53" s="67"/>
      <c r="AB53" s="256" t="str">
        <f>IF($G$5="PSE PAGOS CONEXIÓN EN LÍNEA",BE25,IF($G$5="PSE PAGOS CONEXIÓN INTEGRADA DE FACTURAS",BE19,IF($G$5="PSE DESARROLLO DIRECTO",#REF!,IF($G$5="PSE CANAL DE CONTINGENCIA",BE5,"Seleccione el Servicio"))))</f>
        <v>Seleccione el Servicio</v>
      </c>
      <c r="AC53" s="256"/>
      <c r="AD53" s="257"/>
    </row>
    <row r="54" spans="1:53" ht="15.75" customHeight="1" x14ac:dyDescent="0.3">
      <c r="B54" s="35"/>
    </row>
    <row r="55" spans="1:53" ht="15.75" customHeight="1" x14ac:dyDescent="0.3">
      <c r="D55" s="230" t="str">
        <f>IF(O20="SI","Dominio","Produccion")</f>
        <v>Produccion</v>
      </c>
      <c r="E55" s="231"/>
      <c r="F55" s="231"/>
      <c r="G55" s="231"/>
      <c r="H55" s="232"/>
      <c r="I55" s="230" t="s">
        <v>126</v>
      </c>
      <c r="J55" s="231"/>
      <c r="K55" s="231"/>
      <c r="L55" s="231"/>
      <c r="M55" s="232"/>
    </row>
    <row r="56" spans="1:53" ht="54.9" customHeight="1" x14ac:dyDescent="0.3">
      <c r="B56" s="230" t="s">
        <v>1295</v>
      </c>
      <c r="C56" s="232"/>
      <c r="D56" s="260"/>
      <c r="E56" s="260"/>
      <c r="F56" s="260"/>
      <c r="G56" s="260"/>
      <c r="H56" s="260"/>
      <c r="I56" s="261"/>
      <c r="J56" s="262"/>
      <c r="K56" s="262"/>
      <c r="L56" s="262"/>
      <c r="M56" s="263"/>
      <c r="N56" s="36"/>
      <c r="O56" s="36"/>
      <c r="P56" s="36"/>
      <c r="Q56" s="36"/>
      <c r="R56" s="36"/>
      <c r="S56" s="36"/>
      <c r="T56" s="36"/>
      <c r="U56" s="36"/>
      <c r="V56" s="36"/>
      <c r="W56" s="36"/>
    </row>
    <row r="57" spans="1:53" ht="54.9" customHeight="1" x14ac:dyDescent="0.3">
      <c r="B57" s="230" t="s">
        <v>1296</v>
      </c>
      <c r="C57" s="232"/>
      <c r="D57" s="264" t="str">
        <f>IF($G$5="PSE PAGOS CONEXIÓN EN LÍNEA",BE23,IF($G$5="PSE PAGOS CONEXIÓN INTEGRADA DE FACTURAS",BE16,IF($G$5="PSE DESARROLLO DIRECTO",BE12,IF($G$5="PSE CANAL DE CONTINGENCIA",BE3,"Seleccione el Servicio"))))</f>
        <v>Seleccione el Servicio</v>
      </c>
      <c r="E57" s="264"/>
      <c r="F57" s="264"/>
      <c r="G57" s="264"/>
      <c r="H57" s="264"/>
      <c r="I57" s="264" t="str">
        <f>IF($G$5="PSE PAGOS CONEXIÓN EN LÍNEA",BF23,IF($G$5="PSE PAGOS CONEXIÓN INTEGRADA DE FACTURAS",BF16,IF($G$5="PSE DESARROLLO DIRECTO",BF12,IF($G$5="PSE CANAL DE CONTINGENCIA",BF3,"Seleccione el Servicio"))))</f>
        <v>Seleccione el Servicio</v>
      </c>
      <c r="J57" s="264"/>
      <c r="K57" s="264"/>
      <c r="L57" s="264"/>
      <c r="M57" s="264"/>
      <c r="N57" s="36"/>
      <c r="O57" s="36"/>
      <c r="P57" s="36"/>
      <c r="Q57" s="36"/>
      <c r="R57" s="36"/>
      <c r="S57" s="36"/>
      <c r="T57" s="36"/>
      <c r="U57" s="36"/>
      <c r="V57" s="36"/>
      <c r="W57" s="36"/>
    </row>
    <row r="58" spans="1:53" ht="54.9" customHeight="1" x14ac:dyDescent="0.3">
      <c r="A58" s="36"/>
      <c r="B58" s="230" t="s">
        <v>102</v>
      </c>
      <c r="C58" s="232"/>
      <c r="D58" s="276"/>
      <c r="E58" s="276"/>
      <c r="F58" s="276"/>
      <c r="G58" s="276"/>
      <c r="H58" s="276"/>
      <c r="I58" s="276"/>
      <c r="J58" s="276"/>
      <c r="K58" s="276"/>
      <c r="L58" s="276"/>
      <c r="M58" s="276"/>
      <c r="N58" s="37"/>
      <c r="O58" s="37"/>
      <c r="P58" s="37"/>
      <c r="Q58" s="37"/>
      <c r="R58" s="37"/>
      <c r="S58" s="37"/>
      <c r="T58" s="37"/>
      <c r="U58" s="37"/>
      <c r="V58" s="37"/>
      <c r="W58" s="37"/>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36"/>
    </row>
    <row r="59" spans="1:53" ht="15.9" customHeight="1" x14ac:dyDescent="0.3">
      <c r="A59" s="36"/>
      <c r="D59" s="38"/>
      <c r="E59" s="38"/>
      <c r="F59" s="38"/>
      <c r="G59" s="38"/>
      <c r="H59" s="38"/>
      <c r="I59" s="38"/>
      <c r="J59" s="38"/>
      <c r="K59" s="38"/>
      <c r="L59" s="38"/>
      <c r="M59" s="38"/>
      <c r="N59" s="10"/>
      <c r="O59" s="10"/>
      <c r="P59" s="10"/>
      <c r="Q59" s="10"/>
      <c r="R59" s="10"/>
      <c r="X59" s="36"/>
      <c r="Y59" s="36"/>
      <c r="Z59" s="36"/>
      <c r="AA59" s="36"/>
      <c r="AB59" s="36"/>
      <c r="AC59" s="36"/>
      <c r="AD59" s="36"/>
      <c r="AE59" s="36"/>
      <c r="AF59" s="36"/>
      <c r="AG59" s="36"/>
      <c r="AH59" s="36"/>
      <c r="AI59" s="36"/>
      <c r="AJ59" s="36"/>
      <c r="AK59" s="36"/>
      <c r="AL59" s="36"/>
      <c r="AM59" s="36"/>
      <c r="AN59" s="36"/>
      <c r="AO59" s="36"/>
      <c r="AP59" s="36"/>
      <c r="AQ59" s="36"/>
      <c r="AR59" s="36"/>
      <c r="AS59" s="36"/>
      <c r="AT59" s="36"/>
      <c r="AU59" s="36"/>
      <c r="AV59" s="36"/>
      <c r="AW59" s="36"/>
      <c r="AX59" s="36"/>
      <c r="AY59" s="36"/>
      <c r="AZ59" s="36"/>
      <c r="BA59" s="36"/>
    </row>
    <row r="60" spans="1:53" ht="15.9" customHeight="1" x14ac:dyDescent="0.3">
      <c r="A60" s="36"/>
      <c r="B60" s="42" t="s">
        <v>228</v>
      </c>
      <c r="X60" s="36"/>
      <c r="Y60" s="36"/>
      <c r="Z60" s="36"/>
      <c r="AA60" s="36"/>
      <c r="AB60" s="36"/>
      <c r="AC60" s="36"/>
      <c r="AD60" s="36"/>
      <c r="AE60" s="36"/>
      <c r="AF60" s="36"/>
      <c r="AG60" s="36"/>
      <c r="AH60" s="36"/>
      <c r="AI60" s="36"/>
      <c r="AJ60" s="36"/>
      <c r="AK60" s="36"/>
      <c r="AL60" s="36"/>
      <c r="AM60" s="36"/>
      <c r="AN60" s="36"/>
      <c r="AO60" s="36"/>
      <c r="AP60" s="36"/>
      <c r="AQ60" s="36"/>
      <c r="AR60" s="36"/>
      <c r="AS60" s="36"/>
      <c r="AT60" s="36"/>
      <c r="AU60" s="36"/>
      <c r="AV60" s="36"/>
      <c r="AW60" s="36"/>
      <c r="AX60" s="36"/>
      <c r="AY60" s="36"/>
      <c r="AZ60" s="36"/>
      <c r="BA60" s="36"/>
    </row>
    <row r="61" spans="1:53" ht="15.9" customHeight="1" x14ac:dyDescent="0.3">
      <c r="A61" s="36"/>
      <c r="B61" s="42"/>
      <c r="X61" s="36"/>
      <c r="Y61" s="36"/>
      <c r="Z61" s="36"/>
      <c r="AA61" s="36"/>
      <c r="AB61" s="36"/>
      <c r="AC61" s="36"/>
      <c r="AD61" s="36"/>
      <c r="AE61" s="36"/>
      <c r="AF61" s="36"/>
      <c r="AG61" s="36"/>
      <c r="AH61" s="36"/>
      <c r="AI61" s="36"/>
      <c r="AJ61" s="36"/>
      <c r="AK61" s="36"/>
      <c r="AL61" s="36"/>
      <c r="AM61" s="36"/>
      <c r="AN61" s="36"/>
      <c r="AO61" s="36"/>
      <c r="AP61" s="36"/>
      <c r="AQ61" s="36"/>
      <c r="AR61" s="36"/>
      <c r="AS61" s="36"/>
      <c r="AT61" s="36"/>
      <c r="AU61" s="36"/>
      <c r="AV61" s="36"/>
      <c r="AW61" s="36"/>
      <c r="AX61" s="36"/>
      <c r="AY61" s="36"/>
      <c r="AZ61" s="36"/>
      <c r="BA61" s="36"/>
    </row>
    <row r="62" spans="1:53" s="36" customFormat="1" ht="15.9" customHeight="1" x14ac:dyDescent="0.3">
      <c r="A62"/>
      <c r="B62" s="248" t="s">
        <v>144</v>
      </c>
      <c r="C62" s="249"/>
      <c r="D62" s="250" t="str">
        <f>IF(O20="SI","IP","Produccion")</f>
        <v>Produccion</v>
      </c>
      <c r="E62" s="250"/>
      <c r="F62" s="250"/>
      <c r="G62" s="250"/>
      <c r="H62" s="214" t="s">
        <v>126</v>
      </c>
      <c r="I62" s="214"/>
      <c r="J62" s="214"/>
      <c r="K62" s="214"/>
      <c r="L62"/>
      <c r="M62"/>
      <c r="N62"/>
      <c r="O62"/>
      <c r="P62"/>
      <c r="Q62"/>
      <c r="R62"/>
      <c r="S62"/>
      <c r="T62"/>
      <c r="U62"/>
      <c r="V62"/>
      <c r="W62"/>
      <c r="X62"/>
      <c r="Y62"/>
      <c r="Z62"/>
      <c r="AA62"/>
      <c r="AB62"/>
      <c r="AC62"/>
      <c r="AD62"/>
      <c r="AE62"/>
      <c r="AF62"/>
      <c r="AG62"/>
      <c r="AH62"/>
      <c r="AI62"/>
      <c r="AJ62"/>
      <c r="AK62"/>
      <c r="AL62"/>
      <c r="AM62"/>
      <c r="AN62"/>
      <c r="AO62"/>
      <c r="AP62"/>
      <c r="AQ62"/>
      <c r="AR62"/>
      <c r="AS62"/>
      <c r="AT62"/>
      <c r="AU62"/>
      <c r="AV62"/>
      <c r="AW62"/>
      <c r="AX62"/>
      <c r="AY62"/>
      <c r="AZ62"/>
    </row>
    <row r="63" spans="1:53" s="36" customFormat="1" ht="54.9" customHeight="1" x14ac:dyDescent="0.3">
      <c r="A63"/>
      <c r="B63" s="230" t="s">
        <v>104</v>
      </c>
      <c r="C63" s="232"/>
      <c r="D63" s="213">
        <f>+D56</f>
        <v>0</v>
      </c>
      <c r="E63" s="213"/>
      <c r="F63" s="213"/>
      <c r="G63" s="213"/>
      <c r="H63" s="213">
        <f>+I56</f>
        <v>0</v>
      </c>
      <c r="I63" s="213"/>
      <c r="J63" s="213"/>
      <c r="K63" s="213"/>
      <c r="L63"/>
      <c r="M63"/>
      <c r="N63"/>
      <c r="O63"/>
      <c r="P63"/>
      <c r="Q63"/>
      <c r="R63"/>
      <c r="S63"/>
      <c r="T63"/>
      <c r="U63"/>
      <c r="V63"/>
      <c r="W63"/>
      <c r="X63"/>
      <c r="Y63"/>
      <c r="Z63"/>
      <c r="AA63"/>
      <c r="AB63"/>
      <c r="AC63"/>
      <c r="AD63"/>
      <c r="AE63"/>
      <c r="AF63"/>
      <c r="AG63"/>
      <c r="AH63"/>
      <c r="AI63"/>
      <c r="AJ63"/>
      <c r="AK63"/>
      <c r="AL63"/>
      <c r="AM63"/>
      <c r="AN63"/>
      <c r="AO63"/>
      <c r="AP63"/>
      <c r="AQ63"/>
      <c r="AR63"/>
      <c r="AS63"/>
      <c r="AT63"/>
      <c r="AU63"/>
      <c r="AV63"/>
      <c r="AW63"/>
      <c r="AX63"/>
      <c r="AY63"/>
      <c r="AZ63"/>
      <c r="BA63"/>
    </row>
    <row r="64" spans="1:53" s="36" customFormat="1" ht="54.9" customHeight="1" x14ac:dyDescent="0.3">
      <c r="A64"/>
      <c r="B64" s="230" t="s">
        <v>105</v>
      </c>
      <c r="C64" s="232"/>
      <c r="D64" s="213" t="str">
        <f>IF($G$5="PSE PAGOS CONEXIÓN EN LÍNEA",BE27,IF($G$5="PSE PAGOS CONEXIÓN INTEGRADA DE FACTURAS",BE18,"Seleccione el Servicio"))</f>
        <v>Seleccione el Servicio</v>
      </c>
      <c r="E64" s="213"/>
      <c r="F64" s="213"/>
      <c r="G64" s="213"/>
      <c r="H64" s="213" t="str">
        <f>IF($G$5="PSE PAGOS CONEXIÓN EN LÍNEA",BF27,IF($G$5="PSE PAGOS CONEXIÓN INTEGRADA DE FACTURAS",BF18,IF($G$5="PSE DESARROLLO DIRECTO",#REF!,IF($G$5="PSE CANAL DE CONTINGENCIA",BF5,"Seleccione el Servicio"))))</f>
        <v>Seleccione el Servicio</v>
      </c>
      <c r="I64" s="213"/>
      <c r="J64" s="213"/>
      <c r="K64" s="213"/>
      <c r="L64"/>
      <c r="M64"/>
      <c r="N64"/>
      <c r="O64"/>
      <c r="P64"/>
      <c r="Q64"/>
      <c r="R64"/>
      <c r="S64"/>
      <c r="T64"/>
      <c r="U64"/>
      <c r="V64"/>
      <c r="W64"/>
      <c r="X64"/>
      <c r="Y64"/>
      <c r="Z64"/>
      <c r="AA64"/>
      <c r="AB64"/>
      <c r="AC64"/>
      <c r="AD64"/>
      <c r="AE64"/>
      <c r="AF64"/>
      <c r="AG64"/>
      <c r="AH64"/>
      <c r="AI64"/>
      <c r="AJ64"/>
      <c r="AK64"/>
      <c r="AL64"/>
      <c r="AM64"/>
      <c r="AN64"/>
      <c r="AO64"/>
      <c r="AP64"/>
      <c r="AQ64"/>
      <c r="AR64"/>
      <c r="AS64"/>
      <c r="AT64"/>
      <c r="AU64"/>
      <c r="AV64"/>
      <c r="AW64"/>
      <c r="AX64"/>
      <c r="AY64"/>
      <c r="AZ64"/>
      <c r="BA64"/>
    </row>
    <row r="65" spans="2:23" ht="54.9" customHeight="1" x14ac:dyDescent="0.3">
      <c r="B65" s="230" t="s">
        <v>106</v>
      </c>
      <c r="C65" s="232"/>
      <c r="D65" s="251" t="str">
        <f>IF($G$5="PSE PAGOS CONEXIÓN EN LÍNEA",BE29,IF($G$5="PSE PAGOS CONEXIÓN INTEGRADA DE FACTURAS",BE20,IF($G$5="PSE DESARROLLO DIRECTO",#REF!,IF($G$5="PSE CANAL DE CONTINGENCIA",BE9,"Seleccione el Servicio"))))</f>
        <v>Seleccione el Servicio</v>
      </c>
      <c r="E65" s="251"/>
      <c r="F65" s="251"/>
      <c r="G65" s="251"/>
      <c r="H65" s="251" t="str">
        <f>IF($G$5="PSE PAGOS CONEXIÓN EN LÍNEA",BF29,IF($G$5="PSE PAGOS CONEXIÓN INTEGRADA DE FACTURAS",BF20,IF($G$5="PSE DESARROLLO DIRECTO",#REF!,IF($G$5="PSE CANAL DE CONTINGENCIA",BF9,"Seleccione el Servicio"))))</f>
        <v>Seleccione el Servicio</v>
      </c>
      <c r="I65" s="251"/>
      <c r="J65" s="251"/>
      <c r="K65" s="251"/>
    </row>
    <row r="66" spans="2:23" ht="54.9" customHeight="1" x14ac:dyDescent="0.3">
      <c r="B66" s="230" t="s">
        <v>102</v>
      </c>
      <c r="C66" s="232"/>
      <c r="D66" s="247"/>
      <c r="E66" s="247"/>
      <c r="F66" s="247"/>
      <c r="G66" s="247"/>
      <c r="H66" s="247"/>
      <c r="I66" s="247"/>
      <c r="J66" s="247"/>
      <c r="K66" s="247"/>
    </row>
    <row r="67" spans="2:23" ht="15.9" customHeight="1" x14ac:dyDescent="0.3">
      <c r="B67" s="39"/>
      <c r="C67" s="39"/>
      <c r="D67" s="40"/>
      <c r="E67" s="40"/>
      <c r="F67" s="40"/>
      <c r="G67" s="40"/>
      <c r="H67" s="40"/>
      <c r="I67" s="40"/>
      <c r="J67" s="40"/>
      <c r="K67" s="40"/>
      <c r="L67" s="4"/>
      <c r="M67" s="4"/>
      <c r="N67" s="4"/>
      <c r="O67" s="4"/>
      <c r="P67" s="4"/>
      <c r="Q67" s="4"/>
      <c r="R67" s="4"/>
      <c r="S67" s="4"/>
      <c r="T67" s="4"/>
      <c r="U67" s="4"/>
      <c r="V67" s="4"/>
      <c r="W67" s="4"/>
    </row>
    <row r="68" spans="2:23" ht="51.9" customHeight="1" x14ac:dyDescent="0.3">
      <c r="B68" s="29"/>
    </row>
    <row r="69" spans="2:23" ht="51.9" customHeight="1" x14ac:dyDescent="0.3"/>
    <row r="70" spans="2:23" ht="51.9" customHeight="1" x14ac:dyDescent="0.3"/>
    <row r="71" spans="2:23" ht="51.9" customHeight="1" x14ac:dyDescent="0.3"/>
    <row r="72" spans="2:23" ht="51.9" customHeight="1" x14ac:dyDescent="0.3"/>
    <row r="73" spans="2:23" ht="15.75" customHeight="1" x14ac:dyDescent="0.3"/>
  </sheetData>
  <customSheetViews>
    <customSheetView guid="{81F0E444-1FDF-4C2C-B330-A1D7F689AA54}" scale="85" showGridLines="0">
      <selection activeCell="Q9" sqref="Q9"/>
      <pageMargins left="0.7" right="0.7" top="0.75" bottom="0.75" header="0.3" footer="0.3"/>
      <pageSetup orientation="portrait" r:id="rId1"/>
    </customSheetView>
  </customSheetViews>
  <mergeCells count="130">
    <mergeCell ref="K37:P37"/>
    <mergeCell ref="Q37:V37"/>
    <mergeCell ref="C38:J38"/>
    <mergeCell ref="K38:P38"/>
    <mergeCell ref="B58:C58"/>
    <mergeCell ref="D58:H58"/>
    <mergeCell ref="I58:M58"/>
    <mergeCell ref="B57:C57"/>
    <mergeCell ref="B56:C56"/>
    <mergeCell ref="B1:N1"/>
    <mergeCell ref="K42:P42"/>
    <mergeCell ref="P46:T46"/>
    <mergeCell ref="R2:T3"/>
    <mergeCell ref="C43:J43"/>
    <mergeCell ref="K43:P43"/>
    <mergeCell ref="Q43:V43"/>
    <mergeCell ref="B39:B43"/>
    <mergeCell ref="C39:J39"/>
    <mergeCell ref="K39:P39"/>
    <mergeCell ref="Q39:V39"/>
    <mergeCell ref="C40:J40"/>
    <mergeCell ref="K40:P40"/>
    <mergeCell ref="Q40:V40"/>
    <mergeCell ref="C41:J41"/>
    <mergeCell ref="K41:P41"/>
    <mergeCell ref="C42:J42"/>
    <mergeCell ref="Q42:V42"/>
    <mergeCell ref="Q41:V41"/>
    <mergeCell ref="Q38:V38"/>
    <mergeCell ref="C31:J31"/>
    <mergeCell ref="K31:P31"/>
    <mergeCell ref="Q31:V31"/>
    <mergeCell ref="B26:F26"/>
    <mergeCell ref="Z46:AD46"/>
    <mergeCell ref="P53:R53"/>
    <mergeCell ref="AB53:AD53"/>
    <mergeCell ref="X47:Z47"/>
    <mergeCell ref="T47:V47"/>
    <mergeCell ref="R52:T52"/>
    <mergeCell ref="Z52:AB52"/>
    <mergeCell ref="H65:K65"/>
    <mergeCell ref="D55:H55"/>
    <mergeCell ref="I55:M55"/>
    <mergeCell ref="D56:H56"/>
    <mergeCell ref="I56:M56"/>
    <mergeCell ref="D57:H57"/>
    <mergeCell ref="I57:M57"/>
    <mergeCell ref="B66:C66"/>
    <mergeCell ref="D66:G66"/>
    <mergeCell ref="H66:K66"/>
    <mergeCell ref="B62:C62"/>
    <mergeCell ref="D62:G62"/>
    <mergeCell ref="H62:K62"/>
    <mergeCell ref="B63:C63"/>
    <mergeCell ref="D63:G63"/>
    <mergeCell ref="H63:K63"/>
    <mergeCell ref="B64:C64"/>
    <mergeCell ref="D64:G64"/>
    <mergeCell ref="H64:K64"/>
    <mergeCell ref="B65:C65"/>
    <mergeCell ref="D65:G65"/>
    <mergeCell ref="G26:K26"/>
    <mergeCell ref="L26:P26"/>
    <mergeCell ref="Q26:U26"/>
    <mergeCell ref="B27:F27"/>
    <mergeCell ref="G27:K27"/>
    <mergeCell ref="L27:P27"/>
    <mergeCell ref="Q27:U27"/>
    <mergeCell ref="B32:B38"/>
    <mergeCell ref="C32:J32"/>
    <mergeCell ref="K32:P32"/>
    <mergeCell ref="Q32:V32"/>
    <mergeCell ref="C33:J33"/>
    <mergeCell ref="K33:P33"/>
    <mergeCell ref="Q33:V33"/>
    <mergeCell ref="C34:J34"/>
    <mergeCell ref="K34:P34"/>
    <mergeCell ref="Q34:V34"/>
    <mergeCell ref="C35:J35"/>
    <mergeCell ref="K35:P35"/>
    <mergeCell ref="Q35:V35"/>
    <mergeCell ref="C36:J36"/>
    <mergeCell ref="K36:P36"/>
    <mergeCell ref="Q36:V36"/>
    <mergeCell ref="C37:J37"/>
    <mergeCell ref="B22:P22"/>
    <mergeCell ref="B18:N18"/>
    <mergeCell ref="O18:P18"/>
    <mergeCell ref="B24:F24"/>
    <mergeCell ref="G24:K24"/>
    <mergeCell ref="L24:P24"/>
    <mergeCell ref="Q24:U24"/>
    <mergeCell ref="G25:K25"/>
    <mergeCell ref="L25:P25"/>
    <mergeCell ref="Q25:U25"/>
    <mergeCell ref="B25:F25"/>
    <mergeCell ref="G11:K11"/>
    <mergeCell ref="L16:P16"/>
    <mergeCell ref="L15:P15"/>
    <mergeCell ref="L14:P14"/>
    <mergeCell ref="S18:T18"/>
    <mergeCell ref="R20:U20"/>
    <mergeCell ref="R19:AA19"/>
    <mergeCell ref="L17:P17"/>
    <mergeCell ref="B20:N20"/>
    <mergeCell ref="O20:P20"/>
    <mergeCell ref="B2:F2"/>
    <mergeCell ref="G2:P2"/>
    <mergeCell ref="B3:F3"/>
    <mergeCell ref="G3:P3"/>
    <mergeCell ref="B4:F4"/>
    <mergeCell ref="B11:B13"/>
    <mergeCell ref="G12:K12"/>
    <mergeCell ref="C13:F13"/>
    <mergeCell ref="G13:K13"/>
    <mergeCell ref="L13:P13"/>
    <mergeCell ref="G4:P4"/>
    <mergeCell ref="L10:P10"/>
    <mergeCell ref="B5:F5"/>
    <mergeCell ref="G5:P5"/>
    <mergeCell ref="L11:P11"/>
    <mergeCell ref="L12:P12"/>
    <mergeCell ref="G10:K10"/>
    <mergeCell ref="C12:F12"/>
    <mergeCell ref="C10:F10"/>
    <mergeCell ref="B6:F6"/>
    <mergeCell ref="B7:F7"/>
    <mergeCell ref="G6:P6"/>
    <mergeCell ref="G7:P7"/>
    <mergeCell ref="C11:F11"/>
  </mergeCells>
  <conditionalFormatting sqref="D64:K64">
    <cfRule type="expression" dxfId="8" priority="13" stopIfTrue="1">
      <formula>$G$5="PSE HOSTING CONEXIÓN INTEGRADA DE FACTURAS"</formula>
    </cfRule>
  </conditionalFormatting>
  <conditionalFormatting sqref="D63:K63">
    <cfRule type="expression" dxfId="7" priority="12" stopIfTrue="1">
      <formula>$G$5&lt;&gt;"PSE HOSTING CONEXIÓN INTEGRADA DE FACTURAS"</formula>
    </cfRule>
  </conditionalFormatting>
  <conditionalFormatting sqref="A22:AD67">
    <cfRule type="expression" dxfId="6" priority="10" stopIfTrue="1">
      <formula>$O$20="Seleccione"</formula>
    </cfRule>
  </conditionalFormatting>
  <conditionalFormatting sqref="R19:AA21">
    <cfRule type="expression" dxfId="5" priority="8" stopIfTrue="1">
      <formula>$S$18="Seleccione"</formula>
    </cfRule>
  </conditionalFormatting>
  <conditionalFormatting sqref="R18:T18">
    <cfRule type="expression" dxfId="4" priority="5" stopIfTrue="1">
      <formula>$O$18="Seleccione"</formula>
    </cfRule>
    <cfRule type="expression" dxfId="3" priority="7" stopIfTrue="1">
      <formula>$O$18="NO"</formula>
    </cfRule>
  </conditionalFormatting>
  <conditionalFormatting sqref="B20:P20">
    <cfRule type="expression" dxfId="2" priority="3" stopIfTrue="1">
      <formula>$O$18="Seleccione"</formula>
    </cfRule>
    <cfRule type="expression" dxfId="1" priority="4" stopIfTrue="1">
      <formula>$O$18="SI"</formula>
    </cfRule>
  </conditionalFormatting>
  <conditionalFormatting sqref="R20:U20">
    <cfRule type="expression" dxfId="0" priority="2" stopIfTrue="1">
      <formula>$S$18="AWS"</formula>
    </cfRule>
  </conditionalFormatting>
  <dataValidations count="13">
    <dataValidation type="list" allowBlank="1" showInputMessage="1" showErrorMessage="1" sqref="G5:P5" xr:uid="{DDD13E7F-6218-499A-8DA5-E4C941BD54C4}">
      <formula1>$W$1:$W$3</formula1>
    </dataValidation>
    <dataValidation type="list" allowBlank="1" showInputMessage="1" showErrorMessage="1" prompt="Si cuenta con un terminado para pruebas y otro para producción las direcciones de PEER son diferentes, por ende debe marcar la respuesta en sí." sqref="O20:P20" xr:uid="{02424A7B-EF32-447B-BCFF-0399545BBB97}">
      <formula1>"SI,NO"</formula1>
    </dataValidation>
    <dataValidation allowBlank="1" showInputMessage="1" showErrorMessage="1" prompt="Esta dirección IP corresponde a la dirección IP local (Dirección IP Fase2) de la máquina que origina el trafico interesante, esta dirección IP debe publica y diferente de la dirección IP del PEER (Dirección IP Fase 1)." sqref="B56:C56 I56:M56" xr:uid="{DE4FD8E6-579D-4BC6-BC49-BCD1C9115A89}"/>
    <dataValidation allowBlank="1" showInputMessage="1" showErrorMessage="1" prompt="Dirección IP que genera consumo del servicio." sqref="B63:K63" xr:uid="{4143ED7B-12C0-4EEB-A828-65528A573044}"/>
    <dataValidation allowBlank="1" showInputMessage="1" showErrorMessage="1" prompt="Dirección IP del servidor que recibe consumo del servicio." sqref="B64:K64" xr:uid="{215C6448-D399-4958-AE96-6E372EB6BB1E}"/>
    <dataValidation allowBlank="1" showInputMessage="1" showErrorMessage="1" prompt="HTTP/HTTPS." sqref="B65:K65" xr:uid="{43D79467-55F2-4F0F-A01C-729A0037A6BD}"/>
    <dataValidation allowBlank="1" showInputMessage="1" showErrorMessage="1" prompt="Sub Red (Direcciones IP de Fase 2) a través de la cual se envía el trafico interesante." sqref="B57:M57" xr:uid="{B7F2D111-A0F4-40D4-BC42-79275E7E9829}"/>
    <dataValidation allowBlank="1" showInputMessage="1" showErrorMessage="1" prompt="Para la confutación de VPN puede utilizar software o hardware._x000a_Ya que IPSEC es un estándar." sqref="L24:U24" xr:uid="{24BBD946-FC2E-49E5-8FEC-3984D6E35E4E}"/>
    <dataValidation allowBlank="1" showInputMessage="1" showErrorMessage="1" prompt="Si cuenta con un terminado para pruebas y otro para producción las direcciones de PEER son diferentes, por ende debe marcar la respuesta en sí." sqref="B20:N20" xr:uid="{243C69BA-E388-4D03-956A-830DCAD45FC9}"/>
    <dataValidation allowBlank="1" showInputMessage="1" showErrorMessage="1" error="Esta dirección IP no puede ser igual a la dirección IP Publica regiatrada." prompt="Esta dirección IP corresponde a la dirección IP local (Dirección IP Fase2) de la máquina que origina el trafico interesante, esta dirección IP debe ser publica y diferente de la dirección IP del PEER (Dirección IP Fase 1)." sqref="D56:H56" xr:uid="{2F078B4D-A020-4DEA-91E0-4FE3FCA0B561}"/>
    <dataValidation allowBlank="1" showInputMessage="1" showErrorMessage="1" prompt="Las maquinas desde las cuales se realizara la conexión a PSE están basadas en tecnología cloud." sqref="B18:N18" xr:uid="{C6FE548E-5964-47C7-A015-C9AD9B7FFFCF}"/>
    <dataValidation type="list" allowBlank="1" showInputMessage="1" showErrorMessage="1" prompt="Las maquinas desde las cuales se realizara la conexión a PSE están basadas en tecnología cloud." sqref="O18:P18" xr:uid="{7365DAF3-77BE-4921-9357-11A344AD25D2}">
      <formula1>"SI,NO"</formula1>
    </dataValidation>
    <dataValidation type="list" allowBlank="1" showInputMessage="1" showErrorMessage="1" sqref="S18:T18" xr:uid="{70B882A1-EFF7-4C34-9FCF-AEA8713EA81F}">
      <formula1>"AWS,Otro"</formula1>
    </dataValidation>
  </dataValidations>
  <pageMargins left="0.7" right="0.7" top="0.75" bottom="0.75" header="0.3" footer="0.3"/>
  <pageSetup orientation="portrait" r:id="rId2"/>
  <headerFooter>
    <oddHeader>&amp;L&amp;"Calibri"&amp;10&amp;K000000 Información de carácter Confidencial&amp;1#_x000D_</oddHeader>
  </headerFooter>
  <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572184-9473-4800-BE64-5B04B7FAC465}">
  <sheetPr codeName="Hoja11"/>
  <dimension ref="A2:Q139"/>
  <sheetViews>
    <sheetView showGridLines="0" topLeftCell="A23" zoomScale="70" zoomScaleNormal="70" workbookViewId="0">
      <selection activeCell="M23" sqref="M23"/>
    </sheetView>
  </sheetViews>
  <sheetFormatPr baseColWidth="10" defaultColWidth="10.6640625" defaultRowHeight="14.4" x14ac:dyDescent="0.3"/>
  <cols>
    <col min="1" max="10" width="10.6640625" style="11"/>
    <col min="11" max="11" width="31.33203125" style="12" customWidth="1"/>
    <col min="12" max="12" width="2.6640625" style="12" customWidth="1"/>
    <col min="13" max="13" width="5.109375" style="11" customWidth="1"/>
    <col min="14" max="16384" width="10.6640625" style="11"/>
  </cols>
  <sheetData>
    <row r="2" spans="1:17" ht="15" customHeight="1" x14ac:dyDescent="0.3">
      <c r="A2" s="279" t="s">
        <v>1410</v>
      </c>
      <c r="B2" s="279"/>
      <c r="C2" s="279"/>
      <c r="D2" s="279"/>
      <c r="E2" s="279"/>
      <c r="F2" s="279"/>
      <c r="G2" s="279"/>
      <c r="H2" s="279"/>
      <c r="I2" s="279"/>
      <c r="J2" s="279"/>
      <c r="K2" s="279"/>
      <c r="L2" s="279"/>
      <c r="M2" s="279"/>
    </row>
    <row r="3" spans="1:17" ht="15" customHeight="1" x14ac:dyDescent="0.3">
      <c r="A3" s="279"/>
      <c r="B3" s="279"/>
      <c r="C3" s="279"/>
      <c r="D3" s="279"/>
      <c r="E3" s="279"/>
      <c r="F3" s="279"/>
      <c r="G3" s="279"/>
      <c r="H3" s="279"/>
      <c r="I3" s="279"/>
      <c r="J3" s="279"/>
      <c r="K3" s="279"/>
      <c r="L3" s="279"/>
      <c r="M3" s="279"/>
    </row>
    <row r="4" spans="1:17" ht="15" customHeight="1" x14ac:dyDescent="0.3">
      <c r="A4" s="279"/>
      <c r="B4" s="279"/>
      <c r="C4" s="279"/>
      <c r="D4" s="279"/>
      <c r="E4" s="279"/>
      <c r="F4" s="279"/>
      <c r="G4" s="279"/>
      <c r="H4" s="279"/>
      <c r="I4" s="279"/>
      <c r="J4" s="279"/>
      <c r="K4" s="279"/>
      <c r="L4" s="279"/>
      <c r="M4" s="279"/>
    </row>
    <row r="5" spans="1:17" ht="15" customHeight="1" x14ac:dyDescent="0.3">
      <c r="A5" s="279"/>
      <c r="B5" s="279"/>
      <c r="C5" s="279"/>
      <c r="D5" s="279"/>
      <c r="E5" s="279"/>
      <c r="F5" s="279"/>
      <c r="G5" s="279"/>
      <c r="H5" s="279"/>
      <c r="I5" s="279"/>
      <c r="J5" s="279"/>
      <c r="K5" s="279"/>
      <c r="L5" s="279"/>
      <c r="M5" s="279"/>
    </row>
    <row r="6" spans="1:17" ht="14.4" customHeight="1" x14ac:dyDescent="0.3">
      <c r="A6" s="279"/>
      <c r="B6" s="279"/>
      <c r="C6" s="279"/>
      <c r="D6" s="279"/>
      <c r="E6" s="279"/>
      <c r="F6" s="279"/>
      <c r="G6" s="279"/>
      <c r="H6" s="279"/>
      <c r="I6" s="279"/>
      <c r="J6" s="279"/>
      <c r="K6" s="279"/>
      <c r="L6" s="279"/>
      <c r="M6" s="279"/>
    </row>
    <row r="7" spans="1:17" customFormat="1" ht="14.4" customHeight="1" x14ac:dyDescent="0.3">
      <c r="A7" s="137"/>
      <c r="B7" s="135"/>
      <c r="C7" s="135"/>
      <c r="D7" s="135"/>
      <c r="E7" s="135"/>
      <c r="J7" s="136"/>
      <c r="K7" s="136"/>
      <c r="L7" s="136"/>
      <c r="M7" s="136"/>
    </row>
    <row r="8" spans="1:17" customFormat="1" ht="14.4" customHeight="1" x14ac:dyDescent="0.3">
      <c r="A8" s="135"/>
      <c r="B8" s="135"/>
      <c r="C8" s="135"/>
      <c r="D8" s="135"/>
      <c r="E8" s="135"/>
      <c r="J8" s="136"/>
      <c r="K8" s="136"/>
      <c r="L8" s="136"/>
      <c r="M8" s="136"/>
    </row>
    <row r="9" spans="1:17" ht="15" thickBot="1" x14ac:dyDescent="0.35">
      <c r="A9" s="13"/>
    </row>
    <row r="10" spans="1:17" ht="15.6" x14ac:dyDescent="0.3">
      <c r="A10" s="24" t="s">
        <v>122</v>
      </c>
      <c r="B10" s="27"/>
      <c r="C10" s="23"/>
      <c r="D10" s="23"/>
      <c r="E10" s="23"/>
      <c r="F10" s="23"/>
      <c r="G10" s="23"/>
      <c r="H10" s="23"/>
      <c r="I10" s="23"/>
      <c r="J10" s="23"/>
      <c r="K10" s="22"/>
      <c r="L10" s="22"/>
      <c r="M10" s="21"/>
    </row>
    <row r="11" spans="1:17" x14ac:dyDescent="0.3">
      <c r="A11" s="19"/>
      <c r="M11" s="18"/>
    </row>
    <row r="12" spans="1:17" ht="15" customHeight="1" x14ac:dyDescent="0.3">
      <c r="A12" s="81"/>
      <c r="B12" s="82"/>
      <c r="C12" s="82"/>
      <c r="D12" s="82"/>
      <c r="E12" s="82"/>
      <c r="F12" s="82"/>
      <c r="G12" s="82"/>
      <c r="H12" s="82"/>
      <c r="I12" s="81"/>
      <c r="K12" s="25"/>
      <c r="L12" s="25"/>
      <c r="M12" s="26"/>
      <c r="N12" s="25"/>
      <c r="O12" s="25"/>
      <c r="P12" s="25"/>
      <c r="Q12" s="25"/>
    </row>
    <row r="13" spans="1:17" x14ac:dyDescent="0.3">
      <c r="A13" s="81"/>
      <c r="B13" s="82"/>
      <c r="C13" s="82"/>
      <c r="D13" s="82"/>
      <c r="E13" s="82"/>
      <c r="F13" s="82"/>
      <c r="G13" s="82"/>
      <c r="H13" s="82"/>
      <c r="I13" s="81"/>
      <c r="K13" s="278" t="s">
        <v>117</v>
      </c>
      <c r="L13" s="278"/>
      <c r="M13" s="26"/>
      <c r="N13" s="25"/>
      <c r="O13" s="25"/>
      <c r="P13" s="25"/>
      <c r="Q13" s="25"/>
    </row>
    <row r="14" spans="1:17" x14ac:dyDescent="0.3">
      <c r="A14" s="81"/>
      <c r="B14" s="82"/>
      <c r="C14" s="82"/>
      <c r="D14" s="82"/>
      <c r="E14" s="82"/>
      <c r="F14" s="82"/>
      <c r="G14" s="82"/>
      <c r="H14" s="82"/>
      <c r="I14" s="81"/>
      <c r="K14" s="25"/>
      <c r="L14" s="25"/>
      <c r="M14" s="26"/>
      <c r="N14" s="25"/>
      <c r="O14" s="25"/>
      <c r="P14" s="25"/>
      <c r="Q14" s="25"/>
    </row>
    <row r="15" spans="1:17" x14ac:dyDescent="0.3">
      <c r="A15" s="138"/>
      <c r="B15" s="138"/>
      <c r="C15" s="138"/>
      <c r="D15" s="138"/>
      <c r="E15" s="138"/>
      <c r="F15" s="138"/>
      <c r="G15" s="138"/>
      <c r="H15" s="138"/>
      <c r="I15" s="138"/>
      <c r="K15" s="80" t="s">
        <v>116</v>
      </c>
      <c r="L15" s="20"/>
      <c r="M15" s="26"/>
      <c r="N15" s="25"/>
      <c r="O15" s="25"/>
      <c r="P15" s="25"/>
      <c r="Q15" s="25"/>
    </row>
    <row r="16" spans="1:17" x14ac:dyDescent="0.3">
      <c r="A16" s="81"/>
      <c r="B16" s="81"/>
      <c r="C16" s="81"/>
      <c r="D16" s="81"/>
      <c r="E16" s="81"/>
      <c r="F16" s="81"/>
      <c r="G16" s="81"/>
      <c r="H16" s="81"/>
      <c r="I16" s="81"/>
      <c r="K16" s="138"/>
      <c r="L16" s="2" t="e" vm="1">
        <v>#VALUE!</v>
      </c>
      <c r="M16" s="18"/>
    </row>
    <row r="17" spans="1:13" ht="15" thickBot="1" x14ac:dyDescent="0.35">
      <c r="A17" s="81"/>
      <c r="I17" s="81"/>
      <c r="K17" s="20"/>
      <c r="L17" s="20"/>
      <c r="M17" s="18"/>
    </row>
    <row r="18" spans="1:13" x14ac:dyDescent="0.3">
      <c r="A18" s="81"/>
      <c r="C18" s="139"/>
      <c r="D18" s="140"/>
      <c r="E18" s="140"/>
      <c r="F18" s="140"/>
      <c r="G18" s="141"/>
      <c r="I18" s="81"/>
      <c r="K18" s="80" t="s">
        <v>115</v>
      </c>
      <c r="L18" s="20"/>
      <c r="M18" s="18"/>
    </row>
    <row r="19" spans="1:13" x14ac:dyDescent="0.3">
      <c r="A19" s="81"/>
      <c r="C19" s="19"/>
      <c r="G19" s="18"/>
      <c r="I19" s="81"/>
      <c r="K19" s="81"/>
      <c r="L19" s="2" t="e" vm="1">
        <v>#VALUE!</v>
      </c>
      <c r="M19" s="18"/>
    </row>
    <row r="20" spans="1:13" x14ac:dyDescent="0.3">
      <c r="A20" s="81"/>
      <c r="C20" s="19"/>
      <c r="G20" s="18"/>
      <c r="I20" s="81"/>
      <c r="K20" s="20"/>
      <c r="L20" s="20"/>
      <c r="M20" s="18"/>
    </row>
    <row r="21" spans="1:13" x14ac:dyDescent="0.3">
      <c r="A21" s="81"/>
      <c r="C21" s="19"/>
      <c r="G21" s="18"/>
      <c r="I21" s="81"/>
      <c r="K21" s="80" t="s">
        <v>114</v>
      </c>
      <c r="L21" s="20"/>
      <c r="M21" s="18"/>
    </row>
    <row r="22" spans="1:13" x14ac:dyDescent="0.3">
      <c r="A22" s="81"/>
      <c r="C22" s="19"/>
      <c r="G22" s="18"/>
      <c r="I22" s="81"/>
      <c r="K22" s="133"/>
      <c r="L22" s="2" t="e" vm="1">
        <v>#VALUE!</v>
      </c>
      <c r="M22" s="18"/>
    </row>
    <row r="23" spans="1:13" x14ac:dyDescent="0.3">
      <c r="A23" s="81"/>
      <c r="C23" s="19"/>
      <c r="G23" s="18"/>
      <c r="I23" s="81"/>
      <c r="K23" s="20"/>
      <c r="L23" s="20"/>
      <c r="M23" s="18"/>
    </row>
    <row r="24" spans="1:13" x14ac:dyDescent="0.3">
      <c r="A24" s="81"/>
      <c r="C24" s="19"/>
      <c r="G24" s="18"/>
      <c r="I24" s="81"/>
      <c r="M24" s="18"/>
    </row>
    <row r="25" spans="1:13" x14ac:dyDescent="0.3">
      <c r="A25" s="81"/>
      <c r="C25" s="19"/>
      <c r="G25" s="83"/>
      <c r="I25" s="81"/>
      <c r="M25" s="18"/>
    </row>
    <row r="26" spans="1:13" x14ac:dyDescent="0.3">
      <c r="A26" s="81"/>
      <c r="C26" s="19"/>
      <c r="G26" s="134"/>
      <c r="I26" s="81"/>
      <c r="M26" s="18"/>
    </row>
    <row r="27" spans="1:13" ht="15" thickBot="1" x14ac:dyDescent="0.35">
      <c r="A27" s="81"/>
      <c r="C27" s="17"/>
      <c r="D27" s="16"/>
      <c r="E27" s="16"/>
      <c r="F27" s="16"/>
      <c r="G27" s="14"/>
      <c r="I27" s="81"/>
      <c r="K27" s="11"/>
      <c r="M27" s="18"/>
    </row>
    <row r="28" spans="1:13" x14ac:dyDescent="0.3">
      <c r="A28" s="81"/>
      <c r="I28" s="81"/>
      <c r="M28" s="18"/>
    </row>
    <row r="29" spans="1:13" x14ac:dyDescent="0.3">
      <c r="A29" s="81"/>
      <c r="I29" s="81"/>
      <c r="M29" s="18"/>
    </row>
    <row r="30" spans="1:13" x14ac:dyDescent="0.3">
      <c r="A30" s="81"/>
      <c r="I30" s="81"/>
      <c r="M30" s="18"/>
    </row>
    <row r="31" spans="1:13" x14ac:dyDescent="0.3">
      <c r="A31" s="81"/>
      <c r="I31" s="81"/>
      <c r="K31" s="277"/>
      <c r="L31" s="277"/>
      <c r="M31" s="18"/>
    </row>
    <row r="32" spans="1:13" x14ac:dyDescent="0.3">
      <c r="A32" s="81"/>
      <c r="I32" s="81"/>
      <c r="K32" s="277"/>
      <c r="L32" s="277"/>
      <c r="M32" s="18"/>
    </row>
    <row r="33" spans="1:13" x14ac:dyDescent="0.3">
      <c r="A33" s="138"/>
      <c r="B33" s="138"/>
      <c r="C33" s="138"/>
      <c r="D33" s="138"/>
      <c r="E33" s="138"/>
      <c r="F33" s="138"/>
      <c r="G33" s="138"/>
      <c r="H33" s="138"/>
      <c r="I33" s="138"/>
      <c r="K33" s="277"/>
      <c r="L33" s="277"/>
      <c r="M33" s="18"/>
    </row>
    <row r="34" spans="1:13" x14ac:dyDescent="0.3">
      <c r="A34" s="138"/>
      <c r="B34" s="138"/>
      <c r="C34" s="138"/>
      <c r="D34" s="138"/>
      <c r="E34" s="138"/>
      <c r="F34" s="138"/>
      <c r="G34" s="138"/>
      <c r="H34" s="138"/>
      <c r="I34" s="138"/>
      <c r="K34" s="277"/>
      <c r="L34" s="277"/>
      <c r="M34" s="18"/>
    </row>
    <row r="35" spans="1:13" x14ac:dyDescent="0.3">
      <c r="A35" s="138"/>
      <c r="B35" s="138"/>
      <c r="C35" s="138"/>
      <c r="D35" s="138"/>
      <c r="E35" s="138"/>
      <c r="F35" s="138"/>
      <c r="G35" s="138"/>
      <c r="H35" s="138"/>
      <c r="I35" s="138"/>
      <c r="K35" s="277"/>
      <c r="L35" s="277"/>
      <c r="M35" s="18"/>
    </row>
    <row r="36" spans="1:13" x14ac:dyDescent="0.3">
      <c r="A36" s="138"/>
      <c r="B36" s="138"/>
      <c r="C36" s="138"/>
      <c r="D36" s="138"/>
      <c r="E36" s="138"/>
      <c r="F36" s="138"/>
      <c r="G36" s="138"/>
      <c r="H36" s="138"/>
      <c r="I36" s="138"/>
      <c r="K36" s="277"/>
      <c r="L36" s="277"/>
      <c r="M36" s="18"/>
    </row>
    <row r="37" spans="1:13" ht="7.5" customHeight="1" x14ac:dyDescent="0.3">
      <c r="A37" s="19"/>
      <c r="M37" s="18"/>
    </row>
    <row r="38" spans="1:13" ht="12" customHeight="1" thickBot="1" x14ac:dyDescent="0.35">
      <c r="A38" s="17"/>
      <c r="B38" s="16"/>
      <c r="C38" s="16"/>
      <c r="D38" s="16"/>
      <c r="E38" s="16"/>
      <c r="F38" s="16"/>
      <c r="G38" s="16"/>
      <c r="H38" s="16"/>
      <c r="I38" s="16"/>
      <c r="J38" s="16"/>
      <c r="K38" s="15"/>
      <c r="L38" s="15"/>
      <c r="M38" s="14"/>
    </row>
    <row r="39" spans="1:13" ht="12" customHeight="1" x14ac:dyDescent="0.3">
      <c r="A39" s="19"/>
    </row>
    <row r="40" spans="1:13" ht="12" customHeight="1" x14ac:dyDescent="0.3">
      <c r="A40" s="19"/>
    </row>
    <row r="41" spans="1:13" ht="12" customHeight="1" x14ac:dyDescent="0.3">
      <c r="A41" s="19"/>
    </row>
    <row r="42" spans="1:13" ht="12" customHeight="1" x14ac:dyDescent="0.3">
      <c r="A42" s="19"/>
    </row>
    <row r="43" spans="1:13" ht="12" customHeight="1" x14ac:dyDescent="0.3">
      <c r="A43" s="19"/>
    </row>
    <row r="44" spans="1:13" ht="12" customHeight="1" x14ac:dyDescent="0.3">
      <c r="A44" s="19"/>
    </row>
    <row r="45" spans="1:13" ht="12" customHeight="1" x14ac:dyDescent="0.3">
      <c r="A45" s="19"/>
    </row>
    <row r="46" spans="1:13" ht="12" customHeight="1" x14ac:dyDescent="0.3">
      <c r="A46" s="19"/>
    </row>
    <row r="47" spans="1:13" ht="12" hidden="1" customHeight="1" x14ac:dyDescent="0.3">
      <c r="A47" s="19"/>
    </row>
    <row r="48" spans="1:13" ht="12" hidden="1" customHeight="1" x14ac:dyDescent="0.3">
      <c r="A48" s="19"/>
    </row>
    <row r="49" spans="1:1" ht="12" hidden="1" customHeight="1" x14ac:dyDescent="0.3">
      <c r="A49" s="19"/>
    </row>
    <row r="50" spans="1:1" ht="12" hidden="1" customHeight="1" x14ac:dyDescent="0.3">
      <c r="A50" s="19"/>
    </row>
    <row r="51" spans="1:1" ht="12" hidden="1" customHeight="1" x14ac:dyDescent="0.3">
      <c r="A51" s="19"/>
    </row>
    <row r="52" spans="1:1" ht="12" hidden="1" customHeight="1" x14ac:dyDescent="0.3">
      <c r="A52" s="19"/>
    </row>
    <row r="53" spans="1:1" ht="12" hidden="1" customHeight="1" x14ac:dyDescent="0.3">
      <c r="A53" s="19"/>
    </row>
    <row r="54" spans="1:1" ht="12" hidden="1" customHeight="1" x14ac:dyDescent="0.3">
      <c r="A54" s="19"/>
    </row>
    <row r="55" spans="1:1" ht="12" hidden="1" customHeight="1" x14ac:dyDescent="0.3">
      <c r="A55" s="19"/>
    </row>
    <row r="56" spans="1:1" ht="12" hidden="1" customHeight="1" x14ac:dyDescent="0.3">
      <c r="A56" s="19"/>
    </row>
    <row r="57" spans="1:1" ht="12" hidden="1" customHeight="1" x14ac:dyDescent="0.3">
      <c r="A57" s="19"/>
    </row>
    <row r="58" spans="1:1" ht="12" hidden="1" customHeight="1" x14ac:dyDescent="0.3">
      <c r="A58" s="19"/>
    </row>
    <row r="59" spans="1:1" ht="12" hidden="1" customHeight="1" x14ac:dyDescent="0.3">
      <c r="A59" s="19"/>
    </row>
    <row r="60" spans="1:1" ht="12" hidden="1" customHeight="1" x14ac:dyDescent="0.3">
      <c r="A60" s="19"/>
    </row>
    <row r="61" spans="1:1" ht="12" hidden="1" customHeight="1" x14ac:dyDescent="0.3">
      <c r="A61" s="19"/>
    </row>
    <row r="62" spans="1:1" ht="12" hidden="1" customHeight="1" x14ac:dyDescent="0.3">
      <c r="A62" s="19"/>
    </row>
    <row r="63" spans="1:1" ht="12" hidden="1" customHeight="1" x14ac:dyDescent="0.3">
      <c r="A63" s="19"/>
    </row>
    <row r="64" spans="1:1" ht="12" hidden="1" customHeight="1" x14ac:dyDescent="0.3">
      <c r="A64" s="19"/>
    </row>
    <row r="65" spans="1:1" ht="12" hidden="1" customHeight="1" x14ac:dyDescent="0.3">
      <c r="A65" s="19"/>
    </row>
    <row r="66" spans="1:1" ht="12" hidden="1" customHeight="1" x14ac:dyDescent="0.3">
      <c r="A66" s="19"/>
    </row>
    <row r="67" spans="1:1" ht="12" hidden="1" customHeight="1" x14ac:dyDescent="0.3">
      <c r="A67" s="19"/>
    </row>
    <row r="68" spans="1:1" ht="12" hidden="1" customHeight="1" x14ac:dyDescent="0.3">
      <c r="A68" s="19"/>
    </row>
    <row r="69" spans="1:1" ht="12" hidden="1" customHeight="1" x14ac:dyDescent="0.3">
      <c r="A69" s="19"/>
    </row>
    <row r="70" spans="1:1" ht="12" hidden="1" customHeight="1" x14ac:dyDescent="0.3">
      <c r="A70" s="19"/>
    </row>
    <row r="71" spans="1:1" ht="12" hidden="1" customHeight="1" x14ac:dyDescent="0.3">
      <c r="A71" s="19"/>
    </row>
    <row r="72" spans="1:1" ht="12" hidden="1" customHeight="1" x14ac:dyDescent="0.3">
      <c r="A72" s="19"/>
    </row>
    <row r="73" spans="1:1" ht="12" hidden="1" customHeight="1" x14ac:dyDescent="0.3">
      <c r="A73" s="19"/>
    </row>
    <row r="74" spans="1:1" ht="12" hidden="1" customHeight="1" x14ac:dyDescent="0.3">
      <c r="A74" s="19"/>
    </row>
    <row r="75" spans="1:1" ht="12" hidden="1" customHeight="1" x14ac:dyDescent="0.3">
      <c r="A75" s="19"/>
    </row>
    <row r="76" spans="1:1" ht="12" hidden="1" customHeight="1" x14ac:dyDescent="0.3">
      <c r="A76" s="19"/>
    </row>
    <row r="77" spans="1:1" ht="12" hidden="1" customHeight="1" x14ac:dyDescent="0.3">
      <c r="A77" s="19"/>
    </row>
    <row r="78" spans="1:1" ht="12" hidden="1" customHeight="1" x14ac:dyDescent="0.3">
      <c r="A78" s="19"/>
    </row>
    <row r="79" spans="1:1" ht="12" hidden="1" customHeight="1" x14ac:dyDescent="0.3">
      <c r="A79" s="19"/>
    </row>
    <row r="80" spans="1:1" ht="12" hidden="1" customHeight="1" x14ac:dyDescent="0.3">
      <c r="A80" s="19"/>
    </row>
    <row r="81" spans="1:1" ht="12" hidden="1" customHeight="1" x14ac:dyDescent="0.3">
      <c r="A81" s="19"/>
    </row>
    <row r="82" spans="1:1" ht="12" hidden="1" customHeight="1" x14ac:dyDescent="0.3">
      <c r="A82" s="19"/>
    </row>
    <row r="83" spans="1:1" ht="12" hidden="1" customHeight="1" x14ac:dyDescent="0.3">
      <c r="A83" s="19"/>
    </row>
    <row r="84" spans="1:1" ht="12" hidden="1" customHeight="1" x14ac:dyDescent="0.3">
      <c r="A84" s="19"/>
    </row>
    <row r="85" spans="1:1" ht="12" hidden="1" customHeight="1" x14ac:dyDescent="0.3">
      <c r="A85" s="19"/>
    </row>
    <row r="86" spans="1:1" ht="12" hidden="1" customHeight="1" x14ac:dyDescent="0.3">
      <c r="A86" s="19"/>
    </row>
    <row r="87" spans="1:1" ht="12" hidden="1" customHeight="1" x14ac:dyDescent="0.3">
      <c r="A87" s="19"/>
    </row>
    <row r="88" spans="1:1" ht="12" hidden="1" customHeight="1" x14ac:dyDescent="0.3">
      <c r="A88" s="19"/>
    </row>
    <row r="89" spans="1:1" ht="12" hidden="1" customHeight="1" x14ac:dyDescent="0.3">
      <c r="A89" s="19"/>
    </row>
    <row r="90" spans="1:1" ht="12" hidden="1" customHeight="1" x14ac:dyDescent="0.3">
      <c r="A90" s="19"/>
    </row>
    <row r="91" spans="1:1" ht="12" hidden="1" customHeight="1" x14ac:dyDescent="0.3">
      <c r="A91" s="19"/>
    </row>
    <row r="92" spans="1:1" ht="12" hidden="1" customHeight="1" x14ac:dyDescent="0.3">
      <c r="A92" s="19"/>
    </row>
    <row r="93" spans="1:1" ht="12" hidden="1" customHeight="1" x14ac:dyDescent="0.3">
      <c r="A93" s="19"/>
    </row>
    <row r="94" spans="1:1" ht="12" hidden="1" customHeight="1" x14ac:dyDescent="0.3">
      <c r="A94" s="19"/>
    </row>
    <row r="95" spans="1:1" ht="12" hidden="1" customHeight="1" x14ac:dyDescent="0.3">
      <c r="A95" s="19"/>
    </row>
    <row r="96" spans="1:1" ht="12" hidden="1" customHeight="1" x14ac:dyDescent="0.3">
      <c r="A96" s="19"/>
    </row>
    <row r="97" spans="1:13" ht="12" hidden="1" customHeight="1" x14ac:dyDescent="0.3">
      <c r="A97" s="19"/>
    </row>
    <row r="98" spans="1:13" ht="12" hidden="1" customHeight="1" x14ac:dyDescent="0.3">
      <c r="A98" s="19"/>
    </row>
    <row r="99" spans="1:13" ht="12" customHeight="1" x14ac:dyDescent="0.3">
      <c r="A99" s="19"/>
    </row>
    <row r="100" spans="1:13" ht="12" customHeight="1" x14ac:dyDescent="0.3">
      <c r="A100" s="19"/>
    </row>
    <row r="101" spans="1:13" ht="12" customHeight="1" x14ac:dyDescent="0.3">
      <c r="A101" s="19"/>
    </row>
    <row r="102" spans="1:13" ht="12" customHeight="1" x14ac:dyDescent="0.3">
      <c r="A102" s="19"/>
    </row>
    <row r="103" spans="1:13" ht="12" customHeight="1" x14ac:dyDescent="0.3">
      <c r="A103" s="19"/>
    </row>
    <row r="104" spans="1:13" ht="12" customHeight="1" x14ac:dyDescent="0.3">
      <c r="A104" s="19"/>
    </row>
    <row r="105" spans="1:13" ht="12" customHeight="1" x14ac:dyDescent="0.3">
      <c r="A105" s="19"/>
    </row>
    <row r="106" spans="1:13" ht="12" customHeight="1" x14ac:dyDescent="0.3">
      <c r="A106" s="19"/>
    </row>
    <row r="107" spans="1:13" ht="12" customHeight="1" x14ac:dyDescent="0.3">
      <c r="A107" s="19"/>
    </row>
    <row r="108" spans="1:13" ht="12" customHeight="1" thickBot="1" x14ac:dyDescent="0.35">
      <c r="A108" s="19"/>
    </row>
    <row r="109" spans="1:13" ht="15.6" x14ac:dyDescent="0.3">
      <c r="A109" s="24" t="s">
        <v>121</v>
      </c>
      <c r="B109" s="27"/>
      <c r="C109" s="23"/>
      <c r="D109" s="23"/>
      <c r="E109" s="23"/>
      <c r="F109" s="23"/>
      <c r="G109" s="23"/>
      <c r="H109" s="23"/>
      <c r="I109" s="23"/>
      <c r="J109" s="23"/>
      <c r="K109" s="22"/>
      <c r="L109" s="22"/>
      <c r="M109" s="21"/>
    </row>
    <row r="110" spans="1:13" x14ac:dyDescent="0.3">
      <c r="A110" s="19"/>
      <c r="M110" s="18"/>
    </row>
    <row r="111" spans="1:13" x14ac:dyDescent="0.3">
      <c r="A111" s="87"/>
      <c r="B111" s="88"/>
      <c r="C111" s="88"/>
      <c r="D111" s="88"/>
      <c r="E111" s="88"/>
      <c r="F111" s="88"/>
      <c r="G111" s="88"/>
      <c r="H111" s="88"/>
      <c r="I111" s="87"/>
      <c r="K111" s="25"/>
      <c r="L111" s="25"/>
      <c r="M111" s="26"/>
    </row>
    <row r="112" spans="1:13" x14ac:dyDescent="0.3">
      <c r="A112" s="87"/>
      <c r="B112" s="88"/>
      <c r="C112" s="88"/>
      <c r="D112" s="88"/>
      <c r="E112" s="88"/>
      <c r="F112" s="88"/>
      <c r="G112" s="88"/>
      <c r="H112" s="88"/>
      <c r="I112" s="87"/>
      <c r="K112" s="278" t="s">
        <v>117</v>
      </c>
      <c r="L112" s="278"/>
      <c r="M112" s="26"/>
    </row>
    <row r="113" spans="1:13" x14ac:dyDescent="0.3">
      <c r="A113" s="87"/>
      <c r="B113" s="88"/>
      <c r="C113" s="88"/>
      <c r="D113" s="88"/>
      <c r="E113" s="88"/>
      <c r="F113" s="88"/>
      <c r="G113" s="88"/>
      <c r="H113" s="88"/>
      <c r="I113" s="87"/>
      <c r="K113" s="25"/>
      <c r="L113" s="25"/>
      <c r="M113" s="26"/>
    </row>
    <row r="114" spans="1:13" x14ac:dyDescent="0.3">
      <c r="A114" s="87"/>
      <c r="B114" s="88"/>
      <c r="C114" s="88"/>
      <c r="D114" s="88"/>
      <c r="E114" s="88"/>
      <c r="F114" s="88"/>
      <c r="G114" s="88"/>
      <c r="H114" s="88"/>
      <c r="I114" s="87"/>
      <c r="K114" s="280" t="s">
        <v>116</v>
      </c>
      <c r="L114" s="280"/>
      <c r="M114" s="26"/>
    </row>
    <row r="115" spans="1:13" x14ac:dyDescent="0.3">
      <c r="A115" s="87"/>
      <c r="B115" s="87"/>
      <c r="C115" s="87"/>
      <c r="D115" s="87"/>
      <c r="E115" s="87"/>
      <c r="F115" s="87"/>
      <c r="G115" s="87"/>
      <c r="H115" s="87"/>
      <c r="I115" s="87"/>
      <c r="K115" s="88"/>
      <c r="L115" s="2" t="e" vm="1">
        <v>#VALUE!</v>
      </c>
      <c r="M115" s="77"/>
    </row>
    <row r="116" spans="1:13" ht="15" thickBot="1" x14ac:dyDescent="0.35">
      <c r="A116" s="87"/>
      <c r="I116" s="87"/>
      <c r="K116" s="84"/>
      <c r="M116" s="18"/>
    </row>
    <row r="117" spans="1:13" x14ac:dyDescent="0.3">
      <c r="A117" s="87"/>
      <c r="D117" s="89"/>
      <c r="E117" s="90"/>
      <c r="F117" s="90"/>
      <c r="G117" s="91"/>
      <c r="I117" s="87"/>
      <c r="K117" s="280" t="s">
        <v>115</v>
      </c>
      <c r="L117" s="280"/>
      <c r="M117" s="18"/>
    </row>
    <row r="118" spans="1:13" x14ac:dyDescent="0.3">
      <c r="A118" s="87"/>
      <c r="D118" s="19"/>
      <c r="G118" s="18"/>
      <c r="I118" s="87"/>
      <c r="K118" s="87"/>
      <c r="L118" s="2" t="e" vm="1">
        <v>#VALUE!</v>
      </c>
      <c r="M118" s="18"/>
    </row>
    <row r="119" spans="1:13" x14ac:dyDescent="0.3">
      <c r="A119" s="87"/>
      <c r="D119" s="19"/>
      <c r="G119" s="18"/>
      <c r="I119" s="87"/>
      <c r="K119" s="79"/>
      <c r="M119" s="18"/>
    </row>
    <row r="120" spans="1:13" x14ac:dyDescent="0.3">
      <c r="A120" s="87"/>
      <c r="D120" s="19"/>
      <c r="G120" s="18"/>
      <c r="I120" s="87"/>
      <c r="K120" s="280" t="s">
        <v>114</v>
      </c>
      <c r="L120" s="280"/>
      <c r="M120" s="18"/>
    </row>
    <row r="121" spans="1:13" x14ac:dyDescent="0.3">
      <c r="A121" s="87"/>
      <c r="D121" s="19"/>
      <c r="G121" s="18"/>
      <c r="I121" s="87"/>
      <c r="K121" s="85"/>
      <c r="L121" s="2" t="e" vm="1">
        <v>#VALUE!</v>
      </c>
      <c r="M121" s="18"/>
    </row>
    <row r="122" spans="1:13" x14ac:dyDescent="0.3">
      <c r="A122" s="87"/>
      <c r="D122" s="19"/>
      <c r="G122" s="18"/>
      <c r="I122" s="87"/>
      <c r="K122" s="281"/>
      <c r="L122" s="281"/>
      <c r="M122" s="18"/>
    </row>
    <row r="123" spans="1:13" x14ac:dyDescent="0.3">
      <c r="A123" s="87"/>
      <c r="D123" s="19"/>
      <c r="G123" s="18"/>
      <c r="I123" s="87"/>
      <c r="M123" s="18"/>
    </row>
    <row r="124" spans="1:13" x14ac:dyDescent="0.3">
      <c r="A124" s="87"/>
      <c r="D124" s="19"/>
      <c r="G124" s="86"/>
      <c r="I124" s="87"/>
      <c r="J124" s="78"/>
      <c r="K124" s="282"/>
      <c r="L124" s="282"/>
      <c r="M124" s="18"/>
    </row>
    <row r="125" spans="1:13" ht="15" thickBot="1" x14ac:dyDescent="0.35">
      <c r="A125" s="87"/>
      <c r="D125" s="17"/>
      <c r="E125" s="16"/>
      <c r="F125" s="16"/>
      <c r="G125" s="14"/>
      <c r="I125" s="87"/>
      <c r="K125" s="277"/>
      <c r="L125" s="277"/>
      <c r="M125" s="18"/>
    </row>
    <row r="126" spans="1:13" x14ac:dyDescent="0.3">
      <c r="A126" s="87"/>
      <c r="D126"/>
      <c r="I126" s="87"/>
      <c r="K126" s="277"/>
      <c r="L126" s="277"/>
      <c r="M126" s="18"/>
    </row>
    <row r="127" spans="1:13" x14ac:dyDescent="0.3">
      <c r="A127" s="87"/>
      <c r="I127" s="87"/>
      <c r="K127" s="277"/>
      <c r="L127" s="277"/>
      <c r="M127" s="18"/>
    </row>
    <row r="128" spans="1:13" x14ac:dyDescent="0.3">
      <c r="A128" s="87"/>
      <c r="I128" s="87"/>
      <c r="K128" s="277"/>
      <c r="L128" s="277"/>
      <c r="M128" s="18"/>
    </row>
    <row r="129" spans="1:13" x14ac:dyDescent="0.3">
      <c r="A129" s="87"/>
      <c r="I129" s="87"/>
      <c r="K129" s="277"/>
      <c r="L129" s="277"/>
      <c r="M129" s="18"/>
    </row>
    <row r="130" spans="1:13" x14ac:dyDescent="0.3">
      <c r="A130" s="87"/>
      <c r="I130" s="87"/>
      <c r="K130" s="277"/>
      <c r="L130" s="277"/>
      <c r="M130" s="18"/>
    </row>
    <row r="131" spans="1:13" x14ac:dyDescent="0.3">
      <c r="A131" s="87"/>
      <c r="I131" s="87"/>
      <c r="K131" s="282"/>
      <c r="L131" s="282"/>
      <c r="M131" s="18"/>
    </row>
    <row r="132" spans="1:13" x14ac:dyDescent="0.3">
      <c r="A132" s="88"/>
      <c r="B132" s="88"/>
      <c r="C132" s="88"/>
      <c r="D132" s="88"/>
      <c r="E132" s="88"/>
      <c r="F132" s="88"/>
      <c r="G132" s="88"/>
      <c r="H132" s="88"/>
      <c r="I132" s="88"/>
      <c r="K132" s="277"/>
      <c r="L132" s="277"/>
      <c r="M132" s="18"/>
    </row>
    <row r="133" spans="1:13" x14ac:dyDescent="0.3">
      <c r="A133" s="88"/>
      <c r="B133" s="88"/>
      <c r="C133" s="88"/>
      <c r="D133" s="88"/>
      <c r="E133" s="88"/>
      <c r="F133" s="88"/>
      <c r="G133" s="88"/>
      <c r="H133" s="88"/>
      <c r="I133" s="88"/>
      <c r="K133" s="277"/>
      <c r="L133" s="277"/>
      <c r="M133" s="18"/>
    </row>
    <row r="134" spans="1:13" x14ac:dyDescent="0.3">
      <c r="A134" s="88"/>
      <c r="B134" s="88"/>
      <c r="C134" s="88"/>
      <c r="D134" s="88"/>
      <c r="E134" s="88"/>
      <c r="F134" s="88"/>
      <c r="G134" s="88"/>
      <c r="H134" s="88"/>
      <c r="I134" s="88"/>
      <c r="K134" s="277"/>
      <c r="L134" s="277"/>
      <c r="M134" s="18"/>
    </row>
    <row r="135" spans="1:13" x14ac:dyDescent="0.3">
      <c r="A135" s="88"/>
      <c r="B135" s="88"/>
      <c r="C135" s="88"/>
      <c r="D135" s="88"/>
      <c r="E135" s="88"/>
      <c r="F135" s="88"/>
      <c r="G135" s="88"/>
      <c r="H135" s="88"/>
      <c r="I135" s="88"/>
      <c r="K135" s="277"/>
      <c r="L135" s="277"/>
      <c r="M135" s="18"/>
    </row>
    <row r="136" spans="1:13" x14ac:dyDescent="0.3">
      <c r="A136" s="19"/>
      <c r="M136" s="18"/>
    </row>
    <row r="137" spans="1:13" ht="15" thickBot="1" x14ac:dyDescent="0.35">
      <c r="A137" s="17"/>
      <c r="B137" s="16"/>
      <c r="C137" s="16"/>
      <c r="D137" s="16"/>
      <c r="E137" s="16"/>
      <c r="F137" s="16"/>
      <c r="G137" s="16"/>
      <c r="H137" s="16"/>
      <c r="I137" s="16"/>
      <c r="J137" s="16"/>
      <c r="K137" s="15"/>
      <c r="L137" s="15"/>
      <c r="M137" s="14"/>
    </row>
    <row r="138" spans="1:13" x14ac:dyDescent="0.3">
      <c r="A138" s="13"/>
    </row>
    <row r="139" spans="1:13" ht="15.75" customHeight="1" x14ac:dyDescent="0.3"/>
  </sheetData>
  <mergeCells count="25">
    <mergeCell ref="K134:L134"/>
    <mergeCell ref="K135:L135"/>
    <mergeCell ref="K128:L128"/>
    <mergeCell ref="K129:L129"/>
    <mergeCell ref="K130:L130"/>
    <mergeCell ref="K131:L131"/>
    <mergeCell ref="K132:L132"/>
    <mergeCell ref="K133:L133"/>
    <mergeCell ref="K127:L127"/>
    <mergeCell ref="K34:L34"/>
    <mergeCell ref="K35:L35"/>
    <mergeCell ref="K36:L36"/>
    <mergeCell ref="K112:L112"/>
    <mergeCell ref="K114:L114"/>
    <mergeCell ref="K117:L117"/>
    <mergeCell ref="K120:L120"/>
    <mergeCell ref="K122:L122"/>
    <mergeCell ref="K124:L124"/>
    <mergeCell ref="K125:L125"/>
    <mergeCell ref="K126:L126"/>
    <mergeCell ref="K33:L33"/>
    <mergeCell ref="K13:L13"/>
    <mergeCell ref="K31:L31"/>
    <mergeCell ref="K32:L32"/>
    <mergeCell ref="A2:M6"/>
  </mergeCells>
  <dataValidations disablePrompts="1" count="4">
    <dataValidation allowBlank="1" showInputMessage="1" showErrorMessage="1" prompt="Esta opcion incluirá un campo de validacion, el cual permite parametrizar una contraseña para consultar las facturas." sqref="M115" xr:uid="{980F0499-58F4-447C-B582-9C1023094C0B}"/>
    <dataValidation allowBlank="1" showInputMessage="1" showErrorMessage="1" prompt="Escoja el color del botón con la paleta de colores de excel" sqref="L121" xr:uid="{051B9501-5530-453D-994E-543ED34DD378}"/>
    <dataValidation allowBlank="1" showInputMessage="1" showErrorMessage="1" prompt="Escoja el color del fondo con la paleta de colores de excel" sqref="L118" xr:uid="{872854C9-EE60-4A26-AECE-8C1D5EA25483}"/>
    <dataValidation allowBlank="1" showInputMessage="1" showErrorMessage="1" prompt="Escoja el color del tema con la paleta de colores de excel" sqref="L16 L19 L22 L115" xr:uid="{402B8134-DA9C-4DBA-BB48-115453720861}"/>
  </dataValidations>
  <pageMargins left="0.7" right="0.7" top="0.75" bottom="0.75" header="0.3" footer="0.3"/>
  <pageSetup orientation="portrait" r:id="rId1"/>
  <headerFooter>
    <oddHeader>&amp;L&amp;"Calibri"&amp;10&amp;K000000 Información de carácter Confidencial&amp;1#_x000D_</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Hoja11.PRUEBA1">
                <anchor moveWithCells="1" sizeWithCells="1">
                  <from>
                    <xdr:col>10</xdr:col>
                    <xdr:colOff>137160</xdr:colOff>
                    <xdr:row>25</xdr:row>
                    <xdr:rowOff>60960</xdr:rowOff>
                  </from>
                  <to>
                    <xdr:col>10</xdr:col>
                    <xdr:colOff>2065020</xdr:colOff>
                    <xdr:row>28</xdr:row>
                    <xdr:rowOff>76200</xdr:rowOff>
                  </to>
                </anchor>
              </controlPr>
            </control>
          </mc:Choice>
        </mc:AlternateContent>
        <mc:AlternateContent xmlns:mc="http://schemas.openxmlformats.org/markup-compatibility/2006">
          <mc:Choice Requires="x14">
            <control shapeId="35842" r:id="rId5" name="Button 2">
              <controlPr defaultSize="0" print="0" autoFill="0" autoPict="0" macro="[1]!prueba0">
                <anchor moveWithCells="1" sizeWithCells="1">
                  <from>
                    <xdr:col>10</xdr:col>
                    <xdr:colOff>365760</xdr:colOff>
                    <xdr:row>125</xdr:row>
                    <xdr:rowOff>38100</xdr:rowOff>
                  </from>
                  <to>
                    <xdr:col>10</xdr:col>
                    <xdr:colOff>1943100</xdr:colOff>
                    <xdr:row>128</xdr:row>
                    <xdr:rowOff>152400</xdr:rowOff>
                  </to>
                </anchor>
              </controlPr>
            </control>
          </mc:Choice>
        </mc:AlternateContent>
        <mc:AlternateContent xmlns:mc="http://schemas.openxmlformats.org/markup-compatibility/2006">
          <mc:Choice Requires="x14">
            <control shapeId="35843" r:id="rId6" name="Button 3">
              <controlPr defaultSize="0" print="0" autoFill="0" autoPict="0" macro="[0]!Hoja11.prueba0">
                <anchor moveWithCells="1" sizeWithCells="1">
                  <from>
                    <xdr:col>10</xdr:col>
                    <xdr:colOff>365760</xdr:colOff>
                    <xdr:row>125</xdr:row>
                    <xdr:rowOff>38100</xdr:rowOff>
                  </from>
                  <to>
                    <xdr:col>10</xdr:col>
                    <xdr:colOff>1943100</xdr:colOff>
                    <xdr:row>128</xdr:row>
                    <xdr:rowOff>152400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2A86B2-8C66-413F-A23D-B17DEA9B0DEA}">
  <sheetPr codeName="Hoja1"/>
  <dimension ref="A1:I24"/>
  <sheetViews>
    <sheetView workbookViewId="0">
      <selection activeCell="E18" sqref="E18"/>
    </sheetView>
  </sheetViews>
  <sheetFormatPr baseColWidth="10" defaultRowHeight="14.4" x14ac:dyDescent="0.3"/>
  <sheetData>
    <row r="1" spans="1:9" x14ac:dyDescent="0.3">
      <c r="A1" t="s">
        <v>1365</v>
      </c>
      <c r="B1" t="s">
        <v>1357</v>
      </c>
      <c r="C1" t="s">
        <v>1358</v>
      </c>
      <c r="D1" t="s">
        <v>1359</v>
      </c>
      <c r="E1" t="s">
        <v>1361</v>
      </c>
      <c r="F1" t="s">
        <v>1360</v>
      </c>
      <c r="G1" t="s">
        <v>1362</v>
      </c>
      <c r="H1" t="s">
        <v>1363</v>
      </c>
      <c r="I1" t="s">
        <v>1364</v>
      </c>
    </row>
    <row r="2" spans="1:9" x14ac:dyDescent="0.3">
      <c r="A2" t="s">
        <v>0</v>
      </c>
      <c r="B2" t="s">
        <v>1366</v>
      </c>
      <c r="C2" t="s">
        <v>1387</v>
      </c>
      <c r="D2" t="s">
        <v>1368</v>
      </c>
      <c r="E2" t="s">
        <v>254</v>
      </c>
      <c r="F2" t="s">
        <v>271</v>
      </c>
      <c r="G2" t="s">
        <v>1312</v>
      </c>
      <c r="H2" t="s">
        <v>1390</v>
      </c>
      <c r="I2" t="s">
        <v>1401</v>
      </c>
    </row>
    <row r="3" spans="1:9" x14ac:dyDescent="0.3">
      <c r="A3" t="s">
        <v>1357</v>
      </c>
      <c r="B3" t="s">
        <v>282</v>
      </c>
      <c r="C3" t="s">
        <v>282</v>
      </c>
      <c r="D3" t="s">
        <v>1369</v>
      </c>
      <c r="E3" t="s">
        <v>255</v>
      </c>
      <c r="F3" t="s">
        <v>272</v>
      </c>
      <c r="G3" t="s">
        <v>1313</v>
      </c>
      <c r="H3" t="s">
        <v>266</v>
      </c>
      <c r="I3" t="s">
        <v>1402</v>
      </c>
    </row>
    <row r="4" spans="1:9" x14ac:dyDescent="0.3">
      <c r="A4" t="s">
        <v>1358</v>
      </c>
      <c r="B4" t="s">
        <v>1367</v>
      </c>
      <c r="C4" t="s">
        <v>285</v>
      </c>
      <c r="D4" t="s">
        <v>1370</v>
      </c>
      <c r="E4" t="s">
        <v>256</v>
      </c>
      <c r="F4" t="s">
        <v>274</v>
      </c>
      <c r="G4" t="s">
        <v>1314</v>
      </c>
      <c r="H4" t="s">
        <v>268</v>
      </c>
      <c r="I4" t="s">
        <v>1403</v>
      </c>
    </row>
    <row r="5" spans="1:9" x14ac:dyDescent="0.3">
      <c r="A5" t="s">
        <v>1359</v>
      </c>
      <c r="B5" t="s">
        <v>284</v>
      </c>
      <c r="C5" t="s">
        <v>1388</v>
      </c>
      <c r="D5" t="s">
        <v>1371</v>
      </c>
      <c r="E5" t="s">
        <v>257</v>
      </c>
      <c r="F5" t="s">
        <v>275</v>
      </c>
      <c r="G5" t="s">
        <v>290</v>
      </c>
      <c r="H5" t="s">
        <v>255</v>
      </c>
      <c r="I5" t="s">
        <v>1404</v>
      </c>
    </row>
    <row r="6" spans="1:9" x14ac:dyDescent="0.3">
      <c r="A6" t="s">
        <v>1361</v>
      </c>
      <c r="B6" t="s">
        <v>285</v>
      </c>
      <c r="C6" t="s">
        <v>266</v>
      </c>
      <c r="D6" t="s">
        <v>1372</v>
      </c>
      <c r="E6" t="s">
        <v>258</v>
      </c>
      <c r="F6" t="s">
        <v>277</v>
      </c>
      <c r="G6" t="s">
        <v>1315</v>
      </c>
      <c r="H6" t="s">
        <v>1391</v>
      </c>
      <c r="I6" t="s">
        <v>1405</v>
      </c>
    </row>
    <row r="7" spans="1:9" x14ac:dyDescent="0.3">
      <c r="A7" t="s">
        <v>1360</v>
      </c>
      <c r="B7" t="s">
        <v>269</v>
      </c>
      <c r="C7" t="s">
        <v>294</v>
      </c>
      <c r="D7" t="s">
        <v>284</v>
      </c>
      <c r="E7" t="s">
        <v>259</v>
      </c>
      <c r="F7" t="s">
        <v>263</v>
      </c>
      <c r="G7" t="s">
        <v>1316</v>
      </c>
      <c r="H7" t="s">
        <v>1392</v>
      </c>
      <c r="I7" t="s">
        <v>285</v>
      </c>
    </row>
    <row r="8" spans="1:9" x14ac:dyDescent="0.3">
      <c r="A8" t="s">
        <v>1362</v>
      </c>
      <c r="B8" t="s">
        <v>286</v>
      </c>
      <c r="C8" t="s">
        <v>258</v>
      </c>
      <c r="D8" t="s">
        <v>1373</v>
      </c>
      <c r="E8" t="s">
        <v>1383</v>
      </c>
      <c r="F8" t="s">
        <v>280</v>
      </c>
      <c r="H8" t="s">
        <v>1393</v>
      </c>
      <c r="I8" t="s">
        <v>1406</v>
      </c>
    </row>
    <row r="9" spans="1:9" x14ac:dyDescent="0.3">
      <c r="A9" t="s">
        <v>1363</v>
      </c>
      <c r="B9" t="s">
        <v>261</v>
      </c>
      <c r="C9" t="s">
        <v>1389</v>
      </c>
      <c r="D9" t="s">
        <v>1374</v>
      </c>
      <c r="E9" t="s">
        <v>261</v>
      </c>
      <c r="F9" t="s">
        <v>1384</v>
      </c>
      <c r="H9" t="s">
        <v>1394</v>
      </c>
      <c r="I9" t="s">
        <v>1407</v>
      </c>
    </row>
    <row r="10" spans="1:9" x14ac:dyDescent="0.3">
      <c r="A10" t="s">
        <v>1364</v>
      </c>
      <c r="B10" t="s">
        <v>287</v>
      </c>
      <c r="D10" t="s">
        <v>277</v>
      </c>
      <c r="E10" t="s">
        <v>262</v>
      </c>
      <c r="F10" t="s">
        <v>1380</v>
      </c>
      <c r="H10" t="s">
        <v>1395</v>
      </c>
      <c r="I10" t="s">
        <v>1408</v>
      </c>
    </row>
    <row r="11" spans="1:9" x14ac:dyDescent="0.3">
      <c r="B11" t="s">
        <v>267</v>
      </c>
      <c r="D11" t="s">
        <v>1375</v>
      </c>
      <c r="E11" t="s">
        <v>263</v>
      </c>
      <c r="F11" t="s">
        <v>267</v>
      </c>
      <c r="H11" t="s">
        <v>290</v>
      </c>
      <c r="I11" t="s">
        <v>266</v>
      </c>
    </row>
    <row r="12" spans="1:9" x14ac:dyDescent="0.3">
      <c r="B12" t="s">
        <v>268</v>
      </c>
      <c r="D12" t="s">
        <v>1376</v>
      </c>
      <c r="E12" t="s">
        <v>264</v>
      </c>
      <c r="F12" t="s">
        <v>1385</v>
      </c>
      <c r="H12" t="s">
        <v>1396</v>
      </c>
      <c r="I12" t="s">
        <v>1409</v>
      </c>
    </row>
    <row r="13" spans="1:9" x14ac:dyDescent="0.3">
      <c r="B13" t="s">
        <v>288</v>
      </c>
      <c r="D13" t="s">
        <v>1377</v>
      </c>
      <c r="E13" t="s">
        <v>265</v>
      </c>
      <c r="F13" t="s">
        <v>290</v>
      </c>
      <c r="H13" t="s">
        <v>261</v>
      </c>
      <c r="I13" t="s">
        <v>267</v>
      </c>
    </row>
    <row r="14" spans="1:9" x14ac:dyDescent="0.3">
      <c r="B14" t="s">
        <v>289</v>
      </c>
      <c r="D14" t="s">
        <v>279</v>
      </c>
      <c r="E14" t="s">
        <v>266</v>
      </c>
      <c r="F14" t="s">
        <v>266</v>
      </c>
      <c r="H14" t="s">
        <v>1397</v>
      </c>
    </row>
    <row r="15" spans="1:9" x14ac:dyDescent="0.3">
      <c r="B15" t="s">
        <v>290</v>
      </c>
      <c r="D15" t="s">
        <v>1378</v>
      </c>
      <c r="E15" t="s">
        <v>267</v>
      </c>
      <c r="F15" t="s">
        <v>1386</v>
      </c>
      <c r="H15" t="s">
        <v>275</v>
      </c>
    </row>
    <row r="16" spans="1:9" x14ac:dyDescent="0.3">
      <c r="B16" t="s">
        <v>266</v>
      </c>
      <c r="D16" t="s">
        <v>262</v>
      </c>
      <c r="E16" t="s">
        <v>268</v>
      </c>
      <c r="H16" t="s">
        <v>267</v>
      </c>
    </row>
    <row r="17" spans="2:8" x14ac:dyDescent="0.3">
      <c r="B17" t="s">
        <v>291</v>
      </c>
      <c r="D17" t="s">
        <v>1379</v>
      </c>
      <c r="E17" t="s">
        <v>269</v>
      </c>
      <c r="H17" t="s">
        <v>1398</v>
      </c>
    </row>
    <row r="18" spans="2:8" x14ac:dyDescent="0.3">
      <c r="B18" t="s">
        <v>292</v>
      </c>
      <c r="D18" t="s">
        <v>1380</v>
      </c>
      <c r="H18" t="s">
        <v>1399</v>
      </c>
    </row>
    <row r="19" spans="2:8" x14ac:dyDescent="0.3">
      <c r="B19" t="s">
        <v>293</v>
      </c>
      <c r="D19" t="s">
        <v>1381</v>
      </c>
      <c r="H19" t="s">
        <v>1400</v>
      </c>
    </row>
    <row r="20" spans="2:8" x14ac:dyDescent="0.3">
      <c r="B20" t="s">
        <v>294</v>
      </c>
      <c r="D20" t="s">
        <v>266</v>
      </c>
    </row>
    <row r="21" spans="2:8" x14ac:dyDescent="0.3">
      <c r="B21" t="s">
        <v>295</v>
      </c>
      <c r="D21" t="s">
        <v>1382</v>
      </c>
    </row>
    <row r="22" spans="2:8" x14ac:dyDescent="0.3">
      <c r="B22" t="s">
        <v>296</v>
      </c>
      <c r="D22" t="s">
        <v>268</v>
      </c>
    </row>
    <row r="23" spans="2:8" x14ac:dyDescent="0.3">
      <c r="D23" t="s">
        <v>288</v>
      </c>
    </row>
    <row r="24" spans="2:8" x14ac:dyDescent="0.3">
      <c r="D24" t="s">
        <v>294</v>
      </c>
    </row>
  </sheetData>
  <sheetProtection algorithmName="SHA-512" hashValue="/1Q7z6MPalBaaXXT4y/1qPw1Y6I7H4zt4ychUPI7gXhl+BiNoJHtHuqQ6TeWmjGAlDq9VIZy+iwD7CMkbbSZeQ==" saltValue="18n4eDljf0z9ZD5yumhqLA==" spinCount="100000" sheet="1" objects="1" scenarios="1"/>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E66074-00D5-45F5-B891-2C8DCC336FF8}">
  <sheetPr codeName="Hoja8"/>
  <dimension ref="A1:T495"/>
  <sheetViews>
    <sheetView workbookViewId="0">
      <selection activeCell="E2" sqref="E2:E15"/>
    </sheetView>
  </sheetViews>
  <sheetFormatPr baseColWidth="10" defaultRowHeight="14.4" x14ac:dyDescent="0.3"/>
  <cols>
    <col min="1" max="1" width="14.109375" customWidth="1"/>
    <col min="2" max="2" width="29.44140625" customWidth="1"/>
    <col min="3" max="3" width="14.109375" customWidth="1"/>
    <col min="4" max="4" width="13.44140625" bestFit="1" customWidth="1"/>
    <col min="5" max="5" width="10.5546875" bestFit="1" customWidth="1"/>
    <col min="6" max="6" width="11.33203125" bestFit="1" customWidth="1"/>
    <col min="7" max="7" width="12.33203125" bestFit="1" customWidth="1"/>
  </cols>
  <sheetData>
    <row r="1" spans="1:20" x14ac:dyDescent="0.3">
      <c r="A1" t="s">
        <v>230</v>
      </c>
      <c r="B1" t="s">
        <v>234</v>
      </c>
      <c r="C1" t="s">
        <v>235</v>
      </c>
      <c r="I1" t="s">
        <v>1285</v>
      </c>
      <c r="J1" t="s">
        <v>1284</v>
      </c>
      <c r="L1" t="s">
        <v>1293</v>
      </c>
    </row>
    <row r="2" spans="1:20" x14ac:dyDescent="0.3">
      <c r="A2" s="2" t="s">
        <v>236</v>
      </c>
      <c r="B2" t="s">
        <v>237</v>
      </c>
      <c r="C2" t="s">
        <v>236</v>
      </c>
      <c r="E2" s="48"/>
      <c r="F2" s="69"/>
      <c r="G2" s="69"/>
      <c r="I2" s="46" t="s">
        <v>299</v>
      </c>
      <c r="J2" t="s">
        <v>300</v>
      </c>
      <c r="L2" t="s">
        <v>1286</v>
      </c>
      <c r="R2" t="s">
        <v>1326</v>
      </c>
    </row>
    <row r="3" spans="1:20" x14ac:dyDescent="0.3">
      <c r="A3" s="2" t="s">
        <v>236</v>
      </c>
      <c r="B3" t="s">
        <v>1325</v>
      </c>
      <c r="C3" t="s">
        <v>236</v>
      </c>
      <c r="E3" s="48"/>
      <c r="F3" s="69"/>
      <c r="G3" s="69"/>
      <c r="I3" s="46"/>
    </row>
    <row r="4" spans="1:20" x14ac:dyDescent="0.3">
      <c r="A4" s="2" t="s">
        <v>236</v>
      </c>
      <c r="B4" t="s">
        <v>238</v>
      </c>
      <c r="C4" t="s">
        <v>239</v>
      </c>
      <c r="E4" s="48"/>
      <c r="F4" s="69"/>
      <c r="G4" s="69"/>
      <c r="I4" s="46" t="s">
        <v>301</v>
      </c>
      <c r="J4" t="s">
        <v>302</v>
      </c>
      <c r="L4" t="s">
        <v>1287</v>
      </c>
      <c r="R4" t="s">
        <v>122</v>
      </c>
      <c r="S4" s="72" t="s">
        <v>1331</v>
      </c>
      <c r="T4" t="s">
        <v>1327</v>
      </c>
    </row>
    <row r="5" spans="1:20" x14ac:dyDescent="0.3">
      <c r="A5" s="2" t="s">
        <v>236</v>
      </c>
      <c r="B5" t="s">
        <v>1</v>
      </c>
      <c r="C5" t="s">
        <v>240</v>
      </c>
      <c r="E5" s="48"/>
      <c r="F5" s="69"/>
      <c r="G5" s="69"/>
      <c r="I5" s="46" t="s">
        <v>303</v>
      </c>
      <c r="J5" t="s">
        <v>304</v>
      </c>
      <c r="L5" t="s">
        <v>1288</v>
      </c>
      <c r="R5" t="s">
        <v>121</v>
      </c>
      <c r="S5" s="72" t="s">
        <v>1347</v>
      </c>
      <c r="T5" t="s">
        <v>1348</v>
      </c>
    </row>
    <row r="6" spans="1:20" x14ac:dyDescent="0.3">
      <c r="A6" s="2" t="s">
        <v>236</v>
      </c>
      <c r="B6" t="s">
        <v>2</v>
      </c>
      <c r="C6" t="s">
        <v>241</v>
      </c>
      <c r="E6" s="48"/>
      <c r="F6" s="69"/>
      <c r="G6" s="69"/>
      <c r="I6" s="46" t="s">
        <v>305</v>
      </c>
      <c r="J6" t="s">
        <v>306</v>
      </c>
      <c r="L6" t="s">
        <v>1289</v>
      </c>
      <c r="R6" t="s">
        <v>120</v>
      </c>
      <c r="S6" s="72" t="s">
        <v>1332</v>
      </c>
      <c r="T6" t="s">
        <v>1328</v>
      </c>
    </row>
    <row r="7" spans="1:20" x14ac:dyDescent="0.3">
      <c r="A7" s="2" t="s">
        <v>236</v>
      </c>
      <c r="B7" t="s">
        <v>3</v>
      </c>
      <c r="C7" t="s">
        <v>243</v>
      </c>
      <c r="E7" s="48"/>
      <c r="F7" s="69"/>
      <c r="G7" s="69"/>
      <c r="I7" s="46" t="s">
        <v>307</v>
      </c>
      <c r="J7" t="s">
        <v>308</v>
      </c>
      <c r="L7" t="s">
        <v>1290</v>
      </c>
      <c r="R7" t="s">
        <v>119</v>
      </c>
      <c r="S7" s="72" t="s">
        <v>1333</v>
      </c>
      <c r="T7" t="s">
        <v>1329</v>
      </c>
    </row>
    <row r="8" spans="1:20" x14ac:dyDescent="0.3">
      <c r="A8" s="2" t="s">
        <v>236</v>
      </c>
      <c r="B8" t="s">
        <v>4</v>
      </c>
      <c r="C8" t="s">
        <v>244</v>
      </c>
      <c r="E8" s="48"/>
      <c r="F8" s="69"/>
      <c r="G8" s="69"/>
      <c r="I8" s="46" t="s">
        <v>309</v>
      </c>
      <c r="J8" t="s">
        <v>310</v>
      </c>
      <c r="L8" t="s">
        <v>1291</v>
      </c>
      <c r="R8" t="s">
        <v>118</v>
      </c>
      <c r="S8" s="72" t="s">
        <v>1334</v>
      </c>
      <c r="T8" t="s">
        <v>1330</v>
      </c>
    </row>
    <row r="9" spans="1:20" x14ac:dyDescent="0.3">
      <c r="A9" s="2" t="s">
        <v>236</v>
      </c>
      <c r="B9" t="s">
        <v>6</v>
      </c>
      <c r="C9" t="s">
        <v>245</v>
      </c>
      <c r="E9" s="48"/>
      <c r="F9" s="69"/>
      <c r="G9" s="69"/>
      <c r="I9" s="46" t="s">
        <v>311</v>
      </c>
      <c r="J9" t="s">
        <v>312</v>
      </c>
      <c r="L9" t="s">
        <v>1292</v>
      </c>
      <c r="R9" t="s">
        <v>1349</v>
      </c>
    </row>
    <row r="10" spans="1:20" x14ac:dyDescent="0.3">
      <c r="A10" s="2" t="s">
        <v>236</v>
      </c>
      <c r="B10" t="s">
        <v>7</v>
      </c>
      <c r="C10" t="s">
        <v>246</v>
      </c>
      <c r="E10" s="48"/>
      <c r="F10" s="69"/>
      <c r="G10" s="69"/>
      <c r="I10" s="46" t="s">
        <v>313</v>
      </c>
      <c r="J10" t="s">
        <v>314</v>
      </c>
    </row>
    <row r="11" spans="1:20" x14ac:dyDescent="0.3">
      <c r="A11" s="2" t="s">
        <v>236</v>
      </c>
      <c r="B11" t="s">
        <v>8</v>
      </c>
      <c r="C11" t="s">
        <v>247</v>
      </c>
      <c r="E11" s="48"/>
      <c r="F11" s="69"/>
      <c r="G11" s="69"/>
      <c r="I11" s="46" t="s">
        <v>315</v>
      </c>
      <c r="J11" t="s">
        <v>316</v>
      </c>
    </row>
    <row r="12" spans="1:20" x14ac:dyDescent="0.3">
      <c r="A12" s="2" t="s">
        <v>236</v>
      </c>
      <c r="B12" t="s">
        <v>10</v>
      </c>
      <c r="C12" t="s">
        <v>248</v>
      </c>
      <c r="E12" s="48"/>
      <c r="F12" s="69"/>
      <c r="G12" s="69"/>
      <c r="I12" s="46" t="s">
        <v>317</v>
      </c>
      <c r="J12" t="s">
        <v>318</v>
      </c>
    </row>
    <row r="13" spans="1:20" x14ac:dyDescent="0.3">
      <c r="A13" s="2" t="s">
        <v>236</v>
      </c>
      <c r="B13" t="s">
        <v>11</v>
      </c>
      <c r="C13" t="s">
        <v>249</v>
      </c>
      <c r="E13" s="48"/>
      <c r="F13" s="69"/>
      <c r="G13" s="69"/>
      <c r="I13" s="46" t="s">
        <v>319</v>
      </c>
      <c r="J13" t="s">
        <v>320</v>
      </c>
    </row>
    <row r="14" spans="1:20" x14ac:dyDescent="0.3">
      <c r="A14" s="2" t="s">
        <v>236</v>
      </c>
      <c r="B14" t="s">
        <v>12</v>
      </c>
      <c r="C14" t="s">
        <v>250</v>
      </c>
      <c r="E14" s="48"/>
      <c r="F14" s="69"/>
      <c r="G14" s="69"/>
      <c r="I14" s="46" t="s">
        <v>321</v>
      </c>
      <c r="J14" t="s">
        <v>322</v>
      </c>
    </row>
    <row r="15" spans="1:20" x14ac:dyDescent="0.3">
      <c r="A15" s="2" t="s">
        <v>239</v>
      </c>
      <c r="B15" t="s">
        <v>237</v>
      </c>
      <c r="C15" t="s">
        <v>251</v>
      </c>
      <c r="E15" s="48"/>
      <c r="F15" s="69"/>
      <c r="G15" s="69"/>
      <c r="I15" s="46" t="s">
        <v>323</v>
      </c>
      <c r="J15" t="s">
        <v>324</v>
      </c>
    </row>
    <row r="16" spans="1:20" x14ac:dyDescent="0.3">
      <c r="A16" s="2" t="s">
        <v>239</v>
      </c>
      <c r="B16" t="s">
        <v>238</v>
      </c>
      <c r="C16" t="s">
        <v>252</v>
      </c>
      <c r="I16" s="46" t="s">
        <v>325</v>
      </c>
      <c r="J16" t="s">
        <v>326</v>
      </c>
    </row>
    <row r="17" spans="1:10" x14ac:dyDescent="0.3">
      <c r="A17" s="2" t="s">
        <v>239</v>
      </c>
      <c r="B17" t="s">
        <v>1</v>
      </c>
      <c r="C17" t="s">
        <v>1317</v>
      </c>
      <c r="I17" s="46" t="s">
        <v>327</v>
      </c>
      <c r="J17" t="s">
        <v>328</v>
      </c>
    </row>
    <row r="18" spans="1:10" x14ac:dyDescent="0.3">
      <c r="A18" s="2" t="s">
        <v>239</v>
      </c>
      <c r="B18" t="s">
        <v>2</v>
      </c>
      <c r="C18" t="s">
        <v>1318</v>
      </c>
      <c r="I18" s="46" t="s">
        <v>329</v>
      </c>
      <c r="J18" t="s">
        <v>330</v>
      </c>
    </row>
    <row r="19" spans="1:10" x14ac:dyDescent="0.3">
      <c r="A19" s="2" t="s">
        <v>239</v>
      </c>
      <c r="B19" t="s">
        <v>3</v>
      </c>
      <c r="C19" t="s">
        <v>13</v>
      </c>
      <c r="I19" s="46" t="s">
        <v>331</v>
      </c>
      <c r="J19" t="s">
        <v>332</v>
      </c>
    </row>
    <row r="20" spans="1:10" x14ac:dyDescent="0.3">
      <c r="A20" s="2" t="s">
        <v>239</v>
      </c>
      <c r="B20" t="s">
        <v>4</v>
      </c>
      <c r="C20" t="s">
        <v>253</v>
      </c>
      <c r="I20" s="46" t="s">
        <v>333</v>
      </c>
      <c r="J20" t="s">
        <v>334</v>
      </c>
    </row>
    <row r="21" spans="1:10" x14ac:dyDescent="0.3">
      <c r="A21" s="2" t="s">
        <v>239</v>
      </c>
      <c r="B21" t="s">
        <v>6</v>
      </c>
      <c r="C21" t="s">
        <v>15</v>
      </c>
      <c r="I21" s="46" t="s">
        <v>335</v>
      </c>
      <c r="J21" t="s">
        <v>336</v>
      </c>
    </row>
    <row r="22" spans="1:10" x14ac:dyDescent="0.3">
      <c r="A22" s="2" t="s">
        <v>239</v>
      </c>
      <c r="B22" t="s">
        <v>7</v>
      </c>
      <c r="C22" t="s">
        <v>1319</v>
      </c>
      <c r="I22" s="46" t="s">
        <v>337</v>
      </c>
      <c r="J22" t="s">
        <v>338</v>
      </c>
    </row>
    <row r="23" spans="1:10" x14ac:dyDescent="0.3">
      <c r="A23" s="2" t="s">
        <v>239</v>
      </c>
      <c r="B23" t="s">
        <v>8</v>
      </c>
      <c r="C23" t="s">
        <v>1309</v>
      </c>
      <c r="I23" s="46" t="s">
        <v>339</v>
      </c>
      <c r="J23" t="s">
        <v>340</v>
      </c>
    </row>
    <row r="24" spans="1:10" x14ac:dyDescent="0.3">
      <c r="A24" s="2" t="s">
        <v>239</v>
      </c>
      <c r="B24" t="s">
        <v>10</v>
      </c>
      <c r="C24" t="s">
        <v>1320</v>
      </c>
      <c r="I24" s="46" t="s">
        <v>341</v>
      </c>
      <c r="J24" t="s">
        <v>342</v>
      </c>
    </row>
    <row r="25" spans="1:10" x14ac:dyDescent="0.3">
      <c r="A25" s="2" t="s">
        <v>239</v>
      </c>
      <c r="B25" t="s">
        <v>11</v>
      </c>
      <c r="I25" s="46" t="s">
        <v>343</v>
      </c>
      <c r="J25" t="s">
        <v>344</v>
      </c>
    </row>
    <row r="26" spans="1:10" x14ac:dyDescent="0.3">
      <c r="A26" s="2" t="s">
        <v>239</v>
      </c>
      <c r="B26" t="s">
        <v>12</v>
      </c>
      <c r="I26" s="46" t="s">
        <v>345</v>
      </c>
      <c r="J26" t="s">
        <v>346</v>
      </c>
    </row>
    <row r="27" spans="1:10" x14ac:dyDescent="0.3">
      <c r="A27" s="2" t="s">
        <v>240</v>
      </c>
      <c r="B27" t="s">
        <v>237</v>
      </c>
      <c r="I27" s="46" t="s">
        <v>347</v>
      </c>
      <c r="J27" t="s">
        <v>348</v>
      </c>
    </row>
    <row r="28" spans="1:10" x14ac:dyDescent="0.3">
      <c r="A28" s="2" t="s">
        <v>240</v>
      </c>
      <c r="B28" t="s">
        <v>238</v>
      </c>
      <c r="I28" s="46" t="s">
        <v>349</v>
      </c>
      <c r="J28" t="s">
        <v>350</v>
      </c>
    </row>
    <row r="29" spans="1:10" x14ac:dyDescent="0.3">
      <c r="A29" s="2" t="s">
        <v>240</v>
      </c>
      <c r="B29" t="s">
        <v>1</v>
      </c>
      <c r="I29" s="46" t="s">
        <v>351</v>
      </c>
      <c r="J29" t="s">
        <v>352</v>
      </c>
    </row>
    <row r="30" spans="1:10" x14ac:dyDescent="0.3">
      <c r="A30" s="2" t="s">
        <v>240</v>
      </c>
      <c r="B30" t="s">
        <v>2</v>
      </c>
      <c r="I30" s="46" t="s">
        <v>353</v>
      </c>
      <c r="J30" t="s">
        <v>354</v>
      </c>
    </row>
    <row r="31" spans="1:10" x14ac:dyDescent="0.3">
      <c r="A31" s="2" t="s">
        <v>240</v>
      </c>
      <c r="B31" t="s">
        <v>3</v>
      </c>
      <c r="I31" s="46" t="s">
        <v>355</v>
      </c>
      <c r="J31" t="s">
        <v>356</v>
      </c>
    </row>
    <row r="32" spans="1:10" x14ac:dyDescent="0.3">
      <c r="A32" s="2" t="s">
        <v>240</v>
      </c>
      <c r="B32" t="s">
        <v>4</v>
      </c>
      <c r="I32" s="46" t="s">
        <v>357</v>
      </c>
      <c r="J32" t="s">
        <v>358</v>
      </c>
    </row>
    <row r="33" spans="1:10" x14ac:dyDescent="0.3">
      <c r="A33" s="2" t="s">
        <v>240</v>
      </c>
      <c r="B33" t="s">
        <v>6</v>
      </c>
      <c r="I33" s="46" t="s">
        <v>359</v>
      </c>
      <c r="J33" t="s">
        <v>360</v>
      </c>
    </row>
    <row r="34" spans="1:10" x14ac:dyDescent="0.3">
      <c r="A34" s="2" t="s">
        <v>240</v>
      </c>
      <c r="B34" t="s">
        <v>7</v>
      </c>
      <c r="I34" s="46" t="s">
        <v>361</v>
      </c>
      <c r="J34" t="s">
        <v>362</v>
      </c>
    </row>
    <row r="35" spans="1:10" x14ac:dyDescent="0.3">
      <c r="A35" s="2" t="s">
        <v>240</v>
      </c>
      <c r="B35" t="s">
        <v>8</v>
      </c>
      <c r="I35" s="46" t="s">
        <v>363</v>
      </c>
      <c r="J35" t="s">
        <v>364</v>
      </c>
    </row>
    <row r="36" spans="1:10" x14ac:dyDescent="0.3">
      <c r="A36" s="2" t="s">
        <v>240</v>
      </c>
      <c r="B36" t="s">
        <v>10</v>
      </c>
      <c r="I36" s="46" t="s">
        <v>365</v>
      </c>
      <c r="J36" t="s">
        <v>366</v>
      </c>
    </row>
    <row r="37" spans="1:10" x14ac:dyDescent="0.3">
      <c r="A37" s="2" t="s">
        <v>240</v>
      </c>
      <c r="B37" t="s">
        <v>11</v>
      </c>
      <c r="I37" s="46" t="s">
        <v>367</v>
      </c>
      <c r="J37" t="s">
        <v>368</v>
      </c>
    </row>
    <row r="38" spans="1:10" x14ac:dyDescent="0.3">
      <c r="A38" s="2" t="s">
        <v>240</v>
      </c>
      <c r="B38" t="s">
        <v>12</v>
      </c>
      <c r="I38" s="46" t="s">
        <v>369</v>
      </c>
      <c r="J38" t="s">
        <v>370</v>
      </c>
    </row>
    <row r="39" spans="1:10" x14ac:dyDescent="0.3">
      <c r="A39" s="2" t="s">
        <v>241</v>
      </c>
      <c r="B39" t="s">
        <v>237</v>
      </c>
      <c r="I39" s="46" t="s">
        <v>371</v>
      </c>
      <c r="J39" t="s">
        <v>372</v>
      </c>
    </row>
    <row r="40" spans="1:10" x14ac:dyDescent="0.3">
      <c r="A40" s="2" t="s">
        <v>241</v>
      </c>
      <c r="B40" t="s">
        <v>238</v>
      </c>
      <c r="I40" s="46" t="s">
        <v>373</v>
      </c>
      <c r="J40" t="s">
        <v>374</v>
      </c>
    </row>
    <row r="41" spans="1:10" x14ac:dyDescent="0.3">
      <c r="A41" s="2" t="s">
        <v>241</v>
      </c>
      <c r="B41" t="s">
        <v>1</v>
      </c>
      <c r="I41" s="46" t="s">
        <v>375</v>
      </c>
      <c r="J41" t="s">
        <v>376</v>
      </c>
    </row>
    <row r="42" spans="1:10" x14ac:dyDescent="0.3">
      <c r="A42" s="2" t="s">
        <v>241</v>
      </c>
      <c r="B42" t="s">
        <v>2</v>
      </c>
      <c r="I42" s="46" t="s">
        <v>377</v>
      </c>
      <c r="J42" t="s">
        <v>378</v>
      </c>
    </row>
    <row r="43" spans="1:10" x14ac:dyDescent="0.3">
      <c r="A43" s="2" t="s">
        <v>241</v>
      </c>
      <c r="B43" t="s">
        <v>3</v>
      </c>
      <c r="I43" s="46" t="s">
        <v>379</v>
      </c>
      <c r="J43" t="s">
        <v>380</v>
      </c>
    </row>
    <row r="44" spans="1:10" x14ac:dyDescent="0.3">
      <c r="A44" s="2" t="s">
        <v>241</v>
      </c>
      <c r="B44" t="s">
        <v>4</v>
      </c>
      <c r="I44" s="46" t="s">
        <v>381</v>
      </c>
      <c r="J44" t="s">
        <v>382</v>
      </c>
    </row>
    <row r="45" spans="1:10" x14ac:dyDescent="0.3">
      <c r="A45" s="2" t="s">
        <v>241</v>
      </c>
      <c r="B45" t="s">
        <v>6</v>
      </c>
      <c r="I45" s="46" t="s">
        <v>383</v>
      </c>
      <c r="J45" t="s">
        <v>384</v>
      </c>
    </row>
    <row r="46" spans="1:10" x14ac:dyDescent="0.3">
      <c r="A46" s="2" t="s">
        <v>241</v>
      </c>
      <c r="B46" t="s">
        <v>7</v>
      </c>
      <c r="I46" s="46" t="s">
        <v>385</v>
      </c>
      <c r="J46" t="s">
        <v>386</v>
      </c>
    </row>
    <row r="47" spans="1:10" x14ac:dyDescent="0.3">
      <c r="A47" s="2" t="s">
        <v>241</v>
      </c>
      <c r="B47" t="s">
        <v>8</v>
      </c>
      <c r="I47" s="46" t="s">
        <v>387</v>
      </c>
      <c r="J47" t="s">
        <v>388</v>
      </c>
    </row>
    <row r="48" spans="1:10" x14ac:dyDescent="0.3">
      <c r="A48" s="2" t="s">
        <v>241</v>
      </c>
      <c r="B48" t="s">
        <v>10</v>
      </c>
      <c r="I48" s="46" t="s">
        <v>389</v>
      </c>
      <c r="J48" t="s">
        <v>390</v>
      </c>
    </row>
    <row r="49" spans="1:10" x14ac:dyDescent="0.3">
      <c r="A49" s="2" t="s">
        <v>241</v>
      </c>
      <c r="B49" t="s">
        <v>11</v>
      </c>
      <c r="I49" s="46" t="s">
        <v>391</v>
      </c>
      <c r="J49" t="s">
        <v>392</v>
      </c>
    </row>
    <row r="50" spans="1:10" x14ac:dyDescent="0.3">
      <c r="A50" s="2" t="s">
        <v>241</v>
      </c>
      <c r="B50" t="s">
        <v>12</v>
      </c>
      <c r="I50" s="46" t="s">
        <v>393</v>
      </c>
      <c r="J50" t="s">
        <v>394</v>
      </c>
    </row>
    <row r="51" spans="1:10" x14ac:dyDescent="0.3">
      <c r="A51" s="2" t="s">
        <v>242</v>
      </c>
      <c r="B51" t="s">
        <v>237</v>
      </c>
      <c r="I51" s="46" t="s">
        <v>395</v>
      </c>
      <c r="J51" t="s">
        <v>396</v>
      </c>
    </row>
    <row r="52" spans="1:10" x14ac:dyDescent="0.3">
      <c r="A52" s="2" t="s">
        <v>242</v>
      </c>
      <c r="B52" t="s">
        <v>238</v>
      </c>
      <c r="I52" s="46" t="s">
        <v>397</v>
      </c>
      <c r="J52" t="s">
        <v>398</v>
      </c>
    </row>
    <row r="53" spans="1:10" x14ac:dyDescent="0.3">
      <c r="A53" s="2" t="s">
        <v>242</v>
      </c>
      <c r="B53" t="s">
        <v>1</v>
      </c>
      <c r="I53" s="46" t="s">
        <v>399</v>
      </c>
      <c r="J53" t="s">
        <v>400</v>
      </c>
    </row>
    <row r="54" spans="1:10" x14ac:dyDescent="0.3">
      <c r="A54" s="2" t="s">
        <v>242</v>
      </c>
      <c r="B54" t="s">
        <v>2</v>
      </c>
      <c r="I54" s="46" t="s">
        <v>401</v>
      </c>
      <c r="J54" t="s">
        <v>402</v>
      </c>
    </row>
    <row r="55" spans="1:10" x14ac:dyDescent="0.3">
      <c r="A55" s="2" t="s">
        <v>242</v>
      </c>
      <c r="B55" t="s">
        <v>3</v>
      </c>
      <c r="I55" s="46" t="s">
        <v>403</v>
      </c>
      <c r="J55" t="s">
        <v>404</v>
      </c>
    </row>
    <row r="56" spans="1:10" x14ac:dyDescent="0.3">
      <c r="A56" s="2" t="s">
        <v>242</v>
      </c>
      <c r="B56" t="s">
        <v>4</v>
      </c>
      <c r="I56" s="46" t="s">
        <v>405</v>
      </c>
      <c r="J56" t="s">
        <v>406</v>
      </c>
    </row>
    <row r="57" spans="1:10" x14ac:dyDescent="0.3">
      <c r="A57" s="2" t="s">
        <v>242</v>
      </c>
      <c r="B57" t="s">
        <v>6</v>
      </c>
      <c r="I57" s="46" t="s">
        <v>407</v>
      </c>
      <c r="J57" t="s">
        <v>408</v>
      </c>
    </row>
    <row r="58" spans="1:10" x14ac:dyDescent="0.3">
      <c r="A58" s="2" t="s">
        <v>242</v>
      </c>
      <c r="B58" t="s">
        <v>7</v>
      </c>
      <c r="I58" s="46" t="s">
        <v>409</v>
      </c>
      <c r="J58" t="s">
        <v>410</v>
      </c>
    </row>
    <row r="59" spans="1:10" x14ac:dyDescent="0.3">
      <c r="A59" s="2" t="s">
        <v>242</v>
      </c>
      <c r="B59" t="s">
        <v>8</v>
      </c>
      <c r="I59" s="46" t="s">
        <v>411</v>
      </c>
      <c r="J59" t="s">
        <v>412</v>
      </c>
    </row>
    <row r="60" spans="1:10" x14ac:dyDescent="0.3">
      <c r="A60" s="2" t="s">
        <v>242</v>
      </c>
      <c r="B60" t="s">
        <v>10</v>
      </c>
      <c r="I60" s="46" t="s">
        <v>413</v>
      </c>
      <c r="J60" t="s">
        <v>414</v>
      </c>
    </row>
    <row r="61" spans="1:10" x14ac:dyDescent="0.3">
      <c r="A61" s="2" t="s">
        <v>242</v>
      </c>
      <c r="B61" t="s">
        <v>11</v>
      </c>
      <c r="I61" s="46" t="s">
        <v>415</v>
      </c>
      <c r="J61" t="s">
        <v>416</v>
      </c>
    </row>
    <row r="62" spans="1:10" x14ac:dyDescent="0.3">
      <c r="A62" s="2" t="s">
        <v>242</v>
      </c>
      <c r="B62" t="s">
        <v>12</v>
      </c>
      <c r="I62" s="46" t="s">
        <v>417</v>
      </c>
      <c r="J62" t="s">
        <v>418</v>
      </c>
    </row>
    <row r="63" spans="1:10" x14ac:dyDescent="0.3">
      <c r="A63" s="2" t="s">
        <v>243</v>
      </c>
      <c r="B63" t="s">
        <v>237</v>
      </c>
      <c r="I63" s="46" t="s">
        <v>419</v>
      </c>
      <c r="J63" t="s">
        <v>420</v>
      </c>
    </row>
    <row r="64" spans="1:10" x14ac:dyDescent="0.3">
      <c r="A64" s="2" t="s">
        <v>243</v>
      </c>
      <c r="B64" t="s">
        <v>238</v>
      </c>
      <c r="I64" s="46" t="s">
        <v>421</v>
      </c>
      <c r="J64" t="s">
        <v>422</v>
      </c>
    </row>
    <row r="65" spans="1:10" x14ac:dyDescent="0.3">
      <c r="A65" s="2" t="s">
        <v>243</v>
      </c>
      <c r="B65" t="s">
        <v>1</v>
      </c>
      <c r="I65" s="46" t="s">
        <v>423</v>
      </c>
      <c r="J65" t="s">
        <v>424</v>
      </c>
    </row>
    <row r="66" spans="1:10" x14ac:dyDescent="0.3">
      <c r="A66" s="2" t="s">
        <v>243</v>
      </c>
      <c r="B66" t="s">
        <v>2</v>
      </c>
      <c r="I66" s="46" t="s">
        <v>425</v>
      </c>
      <c r="J66" t="s">
        <v>426</v>
      </c>
    </row>
    <row r="67" spans="1:10" x14ac:dyDescent="0.3">
      <c r="A67" s="2" t="s">
        <v>243</v>
      </c>
      <c r="B67" t="s">
        <v>3</v>
      </c>
      <c r="I67" s="46" t="s">
        <v>427</v>
      </c>
      <c r="J67" t="s">
        <v>428</v>
      </c>
    </row>
    <row r="68" spans="1:10" x14ac:dyDescent="0.3">
      <c r="A68" s="2" t="s">
        <v>243</v>
      </c>
      <c r="B68" t="s">
        <v>4</v>
      </c>
      <c r="I68" s="46" t="s">
        <v>429</v>
      </c>
      <c r="J68" t="s">
        <v>430</v>
      </c>
    </row>
    <row r="69" spans="1:10" x14ac:dyDescent="0.3">
      <c r="A69" s="2" t="s">
        <v>243</v>
      </c>
      <c r="B69" t="s">
        <v>6</v>
      </c>
      <c r="I69" s="46" t="s">
        <v>431</v>
      </c>
      <c r="J69" t="s">
        <v>432</v>
      </c>
    </row>
    <row r="70" spans="1:10" x14ac:dyDescent="0.3">
      <c r="A70" s="2" t="s">
        <v>243</v>
      </c>
      <c r="B70" t="s">
        <v>7</v>
      </c>
      <c r="I70" s="46" t="s">
        <v>433</v>
      </c>
      <c r="J70" t="s">
        <v>434</v>
      </c>
    </row>
    <row r="71" spans="1:10" x14ac:dyDescent="0.3">
      <c r="A71" s="2" t="s">
        <v>243</v>
      </c>
      <c r="B71" t="s">
        <v>8</v>
      </c>
      <c r="I71" s="46" t="s">
        <v>435</v>
      </c>
      <c r="J71" t="s">
        <v>436</v>
      </c>
    </row>
    <row r="72" spans="1:10" x14ac:dyDescent="0.3">
      <c r="A72" s="2" t="s">
        <v>243</v>
      </c>
      <c r="B72" t="s">
        <v>10</v>
      </c>
      <c r="I72" s="46" t="s">
        <v>437</v>
      </c>
      <c r="J72" t="s">
        <v>438</v>
      </c>
    </row>
    <row r="73" spans="1:10" x14ac:dyDescent="0.3">
      <c r="A73" s="2" t="s">
        <v>243</v>
      </c>
      <c r="B73" t="s">
        <v>11</v>
      </c>
      <c r="I73" s="46" t="s">
        <v>439</v>
      </c>
      <c r="J73" t="s">
        <v>440</v>
      </c>
    </row>
    <row r="74" spans="1:10" x14ac:dyDescent="0.3">
      <c r="A74" s="2" t="s">
        <v>243</v>
      </c>
      <c r="B74" t="s">
        <v>12</v>
      </c>
      <c r="I74" s="46" t="s">
        <v>441</v>
      </c>
      <c r="J74" t="s">
        <v>442</v>
      </c>
    </row>
    <row r="75" spans="1:10" x14ac:dyDescent="0.3">
      <c r="A75" s="2" t="s">
        <v>244</v>
      </c>
      <c r="B75" t="s">
        <v>237</v>
      </c>
      <c r="I75" s="46" t="s">
        <v>443</v>
      </c>
      <c r="J75" t="s">
        <v>444</v>
      </c>
    </row>
    <row r="76" spans="1:10" x14ac:dyDescent="0.3">
      <c r="A76" s="2" t="s">
        <v>244</v>
      </c>
      <c r="B76" t="s">
        <v>238</v>
      </c>
      <c r="I76" s="46" t="s">
        <v>445</v>
      </c>
      <c r="J76" t="s">
        <v>446</v>
      </c>
    </row>
    <row r="77" spans="1:10" x14ac:dyDescent="0.3">
      <c r="A77" s="2" t="s">
        <v>244</v>
      </c>
      <c r="B77" t="s">
        <v>1</v>
      </c>
      <c r="I77" s="46" t="s">
        <v>447</v>
      </c>
      <c r="J77" t="s">
        <v>448</v>
      </c>
    </row>
    <row r="78" spans="1:10" x14ac:dyDescent="0.3">
      <c r="A78" s="2" t="s">
        <v>244</v>
      </c>
      <c r="B78" t="s">
        <v>2</v>
      </c>
      <c r="I78" s="46" t="s">
        <v>449</v>
      </c>
      <c r="J78" t="s">
        <v>450</v>
      </c>
    </row>
    <row r="79" spans="1:10" x14ac:dyDescent="0.3">
      <c r="A79" s="2" t="s">
        <v>244</v>
      </c>
      <c r="B79" t="s">
        <v>3</v>
      </c>
      <c r="I79" s="46" t="s">
        <v>451</v>
      </c>
      <c r="J79" t="s">
        <v>452</v>
      </c>
    </row>
    <row r="80" spans="1:10" x14ac:dyDescent="0.3">
      <c r="A80" s="2" t="s">
        <v>244</v>
      </c>
      <c r="B80" t="s">
        <v>4</v>
      </c>
      <c r="I80" s="46" t="s">
        <v>453</v>
      </c>
      <c r="J80" t="s">
        <v>454</v>
      </c>
    </row>
    <row r="81" spans="1:10" x14ac:dyDescent="0.3">
      <c r="A81" s="2" t="s">
        <v>244</v>
      </c>
      <c r="B81" t="s">
        <v>6</v>
      </c>
      <c r="I81" s="46" t="s">
        <v>455</v>
      </c>
      <c r="J81" t="s">
        <v>456</v>
      </c>
    </row>
    <row r="82" spans="1:10" x14ac:dyDescent="0.3">
      <c r="A82" s="2" t="s">
        <v>244</v>
      </c>
      <c r="B82" t="s">
        <v>7</v>
      </c>
      <c r="I82" s="46" t="s">
        <v>457</v>
      </c>
      <c r="J82" t="s">
        <v>458</v>
      </c>
    </row>
    <row r="83" spans="1:10" x14ac:dyDescent="0.3">
      <c r="A83" s="2" t="s">
        <v>244</v>
      </c>
      <c r="B83" t="s">
        <v>8</v>
      </c>
      <c r="I83" s="46" t="s">
        <v>459</v>
      </c>
      <c r="J83" t="s">
        <v>460</v>
      </c>
    </row>
    <row r="84" spans="1:10" x14ac:dyDescent="0.3">
      <c r="A84" s="2" t="s">
        <v>244</v>
      </c>
      <c r="B84" t="s">
        <v>10</v>
      </c>
      <c r="I84" s="46" t="s">
        <v>461</v>
      </c>
      <c r="J84" t="s">
        <v>462</v>
      </c>
    </row>
    <row r="85" spans="1:10" x14ac:dyDescent="0.3">
      <c r="A85" s="2" t="s">
        <v>244</v>
      </c>
      <c r="B85" t="s">
        <v>11</v>
      </c>
      <c r="I85" s="46" t="s">
        <v>463</v>
      </c>
      <c r="J85" t="s">
        <v>464</v>
      </c>
    </row>
    <row r="86" spans="1:10" x14ac:dyDescent="0.3">
      <c r="A86" s="2" t="s">
        <v>244</v>
      </c>
      <c r="B86" t="s">
        <v>12</v>
      </c>
      <c r="I86" s="46" t="s">
        <v>465</v>
      </c>
      <c r="J86" t="s">
        <v>466</v>
      </c>
    </row>
    <row r="87" spans="1:10" x14ac:dyDescent="0.3">
      <c r="A87" s="2" t="s">
        <v>245</v>
      </c>
      <c r="B87" t="s">
        <v>237</v>
      </c>
      <c r="I87" s="46" t="s">
        <v>467</v>
      </c>
      <c r="J87" t="s">
        <v>468</v>
      </c>
    </row>
    <row r="88" spans="1:10" x14ac:dyDescent="0.3">
      <c r="A88" s="2" t="s">
        <v>245</v>
      </c>
      <c r="B88" t="s">
        <v>238</v>
      </c>
      <c r="I88" s="46" t="s">
        <v>469</v>
      </c>
      <c r="J88" t="s">
        <v>470</v>
      </c>
    </row>
    <row r="89" spans="1:10" x14ac:dyDescent="0.3">
      <c r="A89" s="2" t="s">
        <v>245</v>
      </c>
      <c r="B89" t="s">
        <v>1</v>
      </c>
      <c r="I89" s="46" t="s">
        <v>471</v>
      </c>
      <c r="J89" t="s">
        <v>472</v>
      </c>
    </row>
    <row r="90" spans="1:10" x14ac:dyDescent="0.3">
      <c r="A90" s="2" t="s">
        <v>245</v>
      </c>
      <c r="B90" t="s">
        <v>2</v>
      </c>
      <c r="I90" s="46" t="s">
        <v>473</v>
      </c>
      <c r="J90" t="s">
        <v>474</v>
      </c>
    </row>
    <row r="91" spans="1:10" x14ac:dyDescent="0.3">
      <c r="A91" s="2" t="s">
        <v>245</v>
      </c>
      <c r="B91" t="s">
        <v>3</v>
      </c>
      <c r="I91" s="46" t="s">
        <v>475</v>
      </c>
      <c r="J91" t="s">
        <v>476</v>
      </c>
    </row>
    <row r="92" spans="1:10" x14ac:dyDescent="0.3">
      <c r="A92" s="2" t="s">
        <v>245</v>
      </c>
      <c r="B92" t="s">
        <v>4</v>
      </c>
      <c r="I92" s="46" t="s">
        <v>477</v>
      </c>
      <c r="J92" t="s">
        <v>478</v>
      </c>
    </row>
    <row r="93" spans="1:10" x14ac:dyDescent="0.3">
      <c r="A93" s="2" t="s">
        <v>245</v>
      </c>
      <c r="B93" t="s">
        <v>6</v>
      </c>
      <c r="I93" s="46" t="s">
        <v>479</v>
      </c>
      <c r="J93" t="s">
        <v>480</v>
      </c>
    </row>
    <row r="94" spans="1:10" x14ac:dyDescent="0.3">
      <c r="A94" s="2" t="s">
        <v>245</v>
      </c>
      <c r="B94" t="s">
        <v>7</v>
      </c>
      <c r="I94" s="46" t="s">
        <v>481</v>
      </c>
      <c r="J94" t="s">
        <v>482</v>
      </c>
    </row>
    <row r="95" spans="1:10" x14ac:dyDescent="0.3">
      <c r="A95" s="2" t="s">
        <v>245</v>
      </c>
      <c r="B95" t="s">
        <v>8</v>
      </c>
      <c r="I95" s="46" t="s">
        <v>483</v>
      </c>
      <c r="J95" t="s">
        <v>484</v>
      </c>
    </row>
    <row r="96" spans="1:10" x14ac:dyDescent="0.3">
      <c r="A96" s="2" t="s">
        <v>245</v>
      </c>
      <c r="B96" t="s">
        <v>10</v>
      </c>
      <c r="I96" s="46" t="s">
        <v>485</v>
      </c>
      <c r="J96" t="s">
        <v>486</v>
      </c>
    </row>
    <row r="97" spans="1:10" x14ac:dyDescent="0.3">
      <c r="A97" s="2" t="s">
        <v>245</v>
      </c>
      <c r="B97" t="s">
        <v>11</v>
      </c>
      <c r="I97" s="46" t="s">
        <v>487</v>
      </c>
      <c r="J97" t="s">
        <v>488</v>
      </c>
    </row>
    <row r="98" spans="1:10" x14ac:dyDescent="0.3">
      <c r="A98" s="2" t="s">
        <v>245</v>
      </c>
      <c r="B98" t="s">
        <v>12</v>
      </c>
      <c r="I98" s="46" t="s">
        <v>489</v>
      </c>
      <c r="J98" t="s">
        <v>490</v>
      </c>
    </row>
    <row r="99" spans="1:10" x14ac:dyDescent="0.3">
      <c r="A99" s="45" t="s">
        <v>248</v>
      </c>
      <c r="B99" t="s">
        <v>237</v>
      </c>
      <c r="I99" s="46" t="s">
        <v>491</v>
      </c>
      <c r="J99" t="s">
        <v>492</v>
      </c>
    </row>
    <row r="100" spans="1:10" x14ac:dyDescent="0.3">
      <c r="A100" s="45" t="s">
        <v>248</v>
      </c>
      <c r="B100" t="s">
        <v>238</v>
      </c>
      <c r="I100" s="46" t="s">
        <v>493</v>
      </c>
      <c r="J100" t="s">
        <v>494</v>
      </c>
    </row>
    <row r="101" spans="1:10" x14ac:dyDescent="0.3">
      <c r="A101" s="45" t="s">
        <v>248</v>
      </c>
      <c r="B101" t="s">
        <v>1</v>
      </c>
      <c r="I101" s="46" t="s">
        <v>495</v>
      </c>
      <c r="J101" t="s">
        <v>496</v>
      </c>
    </row>
    <row r="102" spans="1:10" x14ac:dyDescent="0.3">
      <c r="A102" s="45" t="s">
        <v>248</v>
      </c>
      <c r="B102" t="s">
        <v>2</v>
      </c>
      <c r="I102" s="46" t="s">
        <v>497</v>
      </c>
      <c r="J102" t="s">
        <v>498</v>
      </c>
    </row>
    <row r="103" spans="1:10" x14ac:dyDescent="0.3">
      <c r="A103" s="45" t="s">
        <v>248</v>
      </c>
      <c r="B103" t="s">
        <v>3</v>
      </c>
      <c r="I103" s="46" t="s">
        <v>499</v>
      </c>
      <c r="J103" t="s">
        <v>500</v>
      </c>
    </row>
    <row r="104" spans="1:10" x14ac:dyDescent="0.3">
      <c r="A104" s="45" t="s">
        <v>248</v>
      </c>
      <c r="B104" t="s">
        <v>4</v>
      </c>
      <c r="I104" s="46" t="s">
        <v>501</v>
      </c>
      <c r="J104" t="s">
        <v>502</v>
      </c>
    </row>
    <row r="105" spans="1:10" x14ac:dyDescent="0.3">
      <c r="A105" s="45" t="s">
        <v>248</v>
      </c>
      <c r="B105" t="s">
        <v>6</v>
      </c>
      <c r="I105" s="46" t="s">
        <v>503</v>
      </c>
      <c r="J105" t="s">
        <v>504</v>
      </c>
    </row>
    <row r="106" spans="1:10" x14ac:dyDescent="0.3">
      <c r="A106" s="45" t="s">
        <v>248</v>
      </c>
      <c r="B106" t="s">
        <v>7</v>
      </c>
      <c r="I106" s="46" t="s">
        <v>505</v>
      </c>
      <c r="J106" t="s">
        <v>506</v>
      </c>
    </row>
    <row r="107" spans="1:10" x14ac:dyDescent="0.3">
      <c r="A107" s="45" t="s">
        <v>248</v>
      </c>
      <c r="B107" t="s">
        <v>8</v>
      </c>
      <c r="I107" s="46" t="s">
        <v>507</v>
      </c>
      <c r="J107" t="s">
        <v>508</v>
      </c>
    </row>
    <row r="108" spans="1:10" x14ac:dyDescent="0.3">
      <c r="A108" s="45" t="s">
        <v>248</v>
      </c>
      <c r="B108" t="s">
        <v>10</v>
      </c>
      <c r="I108" s="46" t="s">
        <v>509</v>
      </c>
      <c r="J108" t="s">
        <v>510</v>
      </c>
    </row>
    <row r="109" spans="1:10" x14ac:dyDescent="0.3">
      <c r="A109" s="45" t="s">
        <v>248</v>
      </c>
      <c r="B109" t="s">
        <v>11</v>
      </c>
      <c r="I109" s="46" t="s">
        <v>511</v>
      </c>
      <c r="J109" t="s">
        <v>512</v>
      </c>
    </row>
    <row r="110" spans="1:10" x14ac:dyDescent="0.3">
      <c r="A110" s="45" t="s">
        <v>248</v>
      </c>
      <c r="B110" t="s">
        <v>12</v>
      </c>
      <c r="I110" s="46" t="s">
        <v>513</v>
      </c>
      <c r="J110" t="s">
        <v>514</v>
      </c>
    </row>
    <row r="111" spans="1:10" x14ac:dyDescent="0.3">
      <c r="A111" s="2" t="s">
        <v>249</v>
      </c>
      <c r="B111" t="s">
        <v>1312</v>
      </c>
      <c r="I111" s="46" t="s">
        <v>515</v>
      </c>
      <c r="J111" t="s">
        <v>516</v>
      </c>
    </row>
    <row r="112" spans="1:10" x14ac:dyDescent="0.3">
      <c r="A112" s="2" t="s">
        <v>249</v>
      </c>
      <c r="B112" t="s">
        <v>1313</v>
      </c>
      <c r="I112" s="46" t="s">
        <v>517</v>
      </c>
      <c r="J112" t="s">
        <v>518</v>
      </c>
    </row>
    <row r="113" spans="1:10" x14ac:dyDescent="0.3">
      <c r="A113" s="2" t="s">
        <v>249</v>
      </c>
      <c r="B113" t="s">
        <v>1314</v>
      </c>
      <c r="I113" s="46" t="s">
        <v>519</v>
      </c>
      <c r="J113" t="s">
        <v>520</v>
      </c>
    </row>
    <row r="114" spans="1:10" x14ac:dyDescent="0.3">
      <c r="A114" s="2" t="s">
        <v>249</v>
      </c>
      <c r="B114" t="s">
        <v>290</v>
      </c>
      <c r="I114" s="46" t="s">
        <v>521</v>
      </c>
      <c r="J114" t="s">
        <v>522</v>
      </c>
    </row>
    <row r="115" spans="1:10" x14ac:dyDescent="0.3">
      <c r="A115" s="2" t="s">
        <v>249</v>
      </c>
      <c r="B115" t="s">
        <v>1315</v>
      </c>
      <c r="I115" s="46" t="s">
        <v>523</v>
      </c>
      <c r="J115" t="s">
        <v>524</v>
      </c>
    </row>
    <row r="116" spans="1:10" x14ac:dyDescent="0.3">
      <c r="A116" s="2" t="s">
        <v>249</v>
      </c>
      <c r="B116" t="s">
        <v>1316</v>
      </c>
      <c r="I116" s="46" t="s">
        <v>525</v>
      </c>
      <c r="J116" t="s">
        <v>526</v>
      </c>
    </row>
    <row r="117" spans="1:10" x14ac:dyDescent="0.3">
      <c r="A117" s="2" t="s">
        <v>249</v>
      </c>
      <c r="I117" s="46" t="s">
        <v>527</v>
      </c>
      <c r="J117" t="s">
        <v>528</v>
      </c>
    </row>
    <row r="118" spans="1:10" x14ac:dyDescent="0.3">
      <c r="A118" s="2" t="s">
        <v>249</v>
      </c>
      <c r="I118" s="46" t="s">
        <v>529</v>
      </c>
      <c r="J118" t="s">
        <v>530</v>
      </c>
    </row>
    <row r="119" spans="1:10" x14ac:dyDescent="0.3">
      <c r="A119" s="2" t="s">
        <v>249</v>
      </c>
      <c r="I119" s="46" t="s">
        <v>531</v>
      </c>
      <c r="J119" t="s">
        <v>532</v>
      </c>
    </row>
    <row r="120" spans="1:10" x14ac:dyDescent="0.3">
      <c r="A120" s="2" t="s">
        <v>249</v>
      </c>
      <c r="I120" s="46" t="s">
        <v>533</v>
      </c>
      <c r="J120" t="s">
        <v>534</v>
      </c>
    </row>
    <row r="121" spans="1:10" x14ac:dyDescent="0.3">
      <c r="A121" s="2" t="s">
        <v>249</v>
      </c>
      <c r="I121" s="46" t="s">
        <v>535</v>
      </c>
      <c r="J121" t="s">
        <v>536</v>
      </c>
    </row>
    <row r="122" spans="1:10" x14ac:dyDescent="0.3">
      <c r="A122" s="2" t="s">
        <v>249</v>
      </c>
      <c r="I122" s="46" t="s">
        <v>537</v>
      </c>
      <c r="J122" t="s">
        <v>538</v>
      </c>
    </row>
    <row r="123" spans="1:10" x14ac:dyDescent="0.3">
      <c r="A123" s="45" t="s">
        <v>250</v>
      </c>
      <c r="B123" t="s">
        <v>237</v>
      </c>
      <c r="I123" s="46" t="s">
        <v>539</v>
      </c>
      <c r="J123" t="s">
        <v>540</v>
      </c>
    </row>
    <row r="124" spans="1:10" x14ac:dyDescent="0.3">
      <c r="A124" s="45" t="s">
        <v>250</v>
      </c>
      <c r="B124" t="s">
        <v>238</v>
      </c>
      <c r="I124" s="46" t="s">
        <v>541</v>
      </c>
      <c r="J124" t="s">
        <v>542</v>
      </c>
    </row>
    <row r="125" spans="1:10" x14ac:dyDescent="0.3">
      <c r="A125" s="45" t="s">
        <v>250</v>
      </c>
      <c r="B125" t="s">
        <v>1</v>
      </c>
      <c r="I125" s="46" t="s">
        <v>543</v>
      </c>
      <c r="J125" t="s">
        <v>544</v>
      </c>
    </row>
    <row r="126" spans="1:10" x14ac:dyDescent="0.3">
      <c r="A126" s="45" t="s">
        <v>250</v>
      </c>
      <c r="B126" t="s">
        <v>2</v>
      </c>
      <c r="I126" s="46" t="s">
        <v>545</v>
      </c>
      <c r="J126" t="s">
        <v>546</v>
      </c>
    </row>
    <row r="127" spans="1:10" x14ac:dyDescent="0.3">
      <c r="A127" s="45" t="s">
        <v>250</v>
      </c>
      <c r="B127" t="s">
        <v>3</v>
      </c>
      <c r="I127" s="46" t="s">
        <v>547</v>
      </c>
      <c r="J127" t="s">
        <v>548</v>
      </c>
    </row>
    <row r="128" spans="1:10" x14ac:dyDescent="0.3">
      <c r="A128" s="45" t="s">
        <v>250</v>
      </c>
      <c r="B128" t="s">
        <v>4</v>
      </c>
      <c r="I128" s="46" t="s">
        <v>549</v>
      </c>
      <c r="J128" t="s">
        <v>550</v>
      </c>
    </row>
    <row r="129" spans="1:10" x14ac:dyDescent="0.3">
      <c r="A129" s="45" t="s">
        <v>250</v>
      </c>
      <c r="B129" t="s">
        <v>6</v>
      </c>
      <c r="I129" s="46" t="s">
        <v>551</v>
      </c>
      <c r="J129" t="s">
        <v>552</v>
      </c>
    </row>
    <row r="130" spans="1:10" x14ac:dyDescent="0.3">
      <c r="A130" s="45" t="s">
        <v>250</v>
      </c>
      <c r="B130" t="s">
        <v>7</v>
      </c>
      <c r="I130" s="46" t="s">
        <v>553</v>
      </c>
      <c r="J130" t="s">
        <v>554</v>
      </c>
    </row>
    <row r="131" spans="1:10" x14ac:dyDescent="0.3">
      <c r="A131" s="45" t="s">
        <v>250</v>
      </c>
      <c r="B131" t="s">
        <v>8</v>
      </c>
      <c r="I131" s="46" t="s">
        <v>555</v>
      </c>
      <c r="J131" t="s">
        <v>556</v>
      </c>
    </row>
    <row r="132" spans="1:10" x14ac:dyDescent="0.3">
      <c r="A132" s="45" t="s">
        <v>250</v>
      </c>
      <c r="B132" t="s">
        <v>10</v>
      </c>
      <c r="I132" s="46" t="s">
        <v>557</v>
      </c>
      <c r="J132" t="s">
        <v>558</v>
      </c>
    </row>
    <row r="133" spans="1:10" x14ac:dyDescent="0.3">
      <c r="A133" s="45" t="s">
        <v>250</v>
      </c>
      <c r="B133" t="s">
        <v>11</v>
      </c>
      <c r="I133" s="46" t="s">
        <v>559</v>
      </c>
      <c r="J133" t="s">
        <v>560</v>
      </c>
    </row>
    <row r="134" spans="1:10" x14ac:dyDescent="0.3">
      <c r="A134" s="45" t="s">
        <v>250</v>
      </c>
      <c r="B134" t="s">
        <v>12</v>
      </c>
      <c r="I134" s="46" t="s">
        <v>561</v>
      </c>
      <c r="J134" t="s">
        <v>562</v>
      </c>
    </row>
    <row r="135" spans="1:10" x14ac:dyDescent="0.3">
      <c r="A135" s="45" t="s">
        <v>251</v>
      </c>
      <c r="B135" t="s">
        <v>237</v>
      </c>
      <c r="I135" s="46" t="s">
        <v>563</v>
      </c>
      <c r="J135" t="s">
        <v>564</v>
      </c>
    </row>
    <row r="136" spans="1:10" x14ac:dyDescent="0.3">
      <c r="A136" s="45" t="s">
        <v>251</v>
      </c>
      <c r="B136" t="s">
        <v>238</v>
      </c>
      <c r="I136" s="46" t="s">
        <v>565</v>
      </c>
      <c r="J136" t="s">
        <v>566</v>
      </c>
    </row>
    <row r="137" spans="1:10" x14ac:dyDescent="0.3">
      <c r="A137" s="45" t="s">
        <v>251</v>
      </c>
      <c r="B137" t="s">
        <v>1</v>
      </c>
      <c r="I137" s="46" t="s">
        <v>567</v>
      </c>
      <c r="J137" t="s">
        <v>568</v>
      </c>
    </row>
    <row r="138" spans="1:10" x14ac:dyDescent="0.3">
      <c r="A138" s="45" t="s">
        <v>251</v>
      </c>
      <c r="B138" t="s">
        <v>2</v>
      </c>
      <c r="I138" s="46" t="s">
        <v>569</v>
      </c>
      <c r="J138" t="s">
        <v>570</v>
      </c>
    </row>
    <row r="139" spans="1:10" x14ac:dyDescent="0.3">
      <c r="A139" s="45" t="s">
        <v>251</v>
      </c>
      <c r="B139" t="s">
        <v>3</v>
      </c>
      <c r="I139" s="46" t="s">
        <v>571</v>
      </c>
      <c r="J139" t="s">
        <v>572</v>
      </c>
    </row>
    <row r="140" spans="1:10" x14ac:dyDescent="0.3">
      <c r="A140" s="45" t="s">
        <v>251</v>
      </c>
      <c r="B140" t="s">
        <v>4</v>
      </c>
      <c r="I140" s="46" t="s">
        <v>573</v>
      </c>
      <c r="J140" t="s">
        <v>574</v>
      </c>
    </row>
    <row r="141" spans="1:10" x14ac:dyDescent="0.3">
      <c r="A141" s="45" t="s">
        <v>251</v>
      </c>
      <c r="B141" t="s">
        <v>6</v>
      </c>
      <c r="I141" s="46" t="s">
        <v>575</v>
      </c>
      <c r="J141" t="s">
        <v>576</v>
      </c>
    </row>
    <row r="142" spans="1:10" x14ac:dyDescent="0.3">
      <c r="A142" s="45" t="s">
        <v>251</v>
      </c>
      <c r="B142" t="s">
        <v>7</v>
      </c>
      <c r="I142" s="46" t="s">
        <v>577</v>
      </c>
      <c r="J142" t="s">
        <v>578</v>
      </c>
    </row>
    <row r="143" spans="1:10" x14ac:dyDescent="0.3">
      <c r="A143" s="45" t="s">
        <v>251</v>
      </c>
      <c r="B143" t="s">
        <v>8</v>
      </c>
      <c r="I143" s="46" t="s">
        <v>579</v>
      </c>
      <c r="J143" t="s">
        <v>580</v>
      </c>
    </row>
    <row r="144" spans="1:10" x14ac:dyDescent="0.3">
      <c r="A144" s="45" t="s">
        <v>251</v>
      </c>
      <c r="B144" t="s">
        <v>10</v>
      </c>
      <c r="I144" s="46" t="s">
        <v>581</v>
      </c>
      <c r="J144" t="s">
        <v>582</v>
      </c>
    </row>
    <row r="145" spans="1:10" x14ac:dyDescent="0.3">
      <c r="A145" s="45" t="s">
        <v>251</v>
      </c>
      <c r="B145" t="s">
        <v>11</v>
      </c>
      <c r="I145" s="46" t="s">
        <v>583</v>
      </c>
      <c r="J145" t="s">
        <v>584</v>
      </c>
    </row>
    <row r="146" spans="1:10" x14ac:dyDescent="0.3">
      <c r="A146" s="45" t="s">
        <v>251</v>
      </c>
      <c r="B146" t="s">
        <v>12</v>
      </c>
      <c r="I146" s="46" t="s">
        <v>585</v>
      </c>
      <c r="J146" t="s">
        <v>586</v>
      </c>
    </row>
    <row r="147" spans="1:10" x14ac:dyDescent="0.3">
      <c r="A147" s="2" t="s">
        <v>252</v>
      </c>
      <c r="B147" t="s">
        <v>237</v>
      </c>
      <c r="I147" s="46" t="s">
        <v>587</v>
      </c>
      <c r="J147" t="s">
        <v>588</v>
      </c>
    </row>
    <row r="148" spans="1:10" x14ac:dyDescent="0.3">
      <c r="A148" s="2" t="s">
        <v>252</v>
      </c>
      <c r="B148" t="s">
        <v>238</v>
      </c>
      <c r="I148" s="46" t="s">
        <v>589</v>
      </c>
      <c r="J148" t="s">
        <v>590</v>
      </c>
    </row>
    <row r="149" spans="1:10" x14ac:dyDescent="0.3">
      <c r="A149" s="2" t="s">
        <v>252</v>
      </c>
      <c r="B149" t="s">
        <v>1</v>
      </c>
      <c r="I149" s="46" t="s">
        <v>591</v>
      </c>
      <c r="J149" t="s">
        <v>592</v>
      </c>
    </row>
    <row r="150" spans="1:10" x14ac:dyDescent="0.3">
      <c r="A150" s="2" t="s">
        <v>252</v>
      </c>
      <c r="B150" t="s">
        <v>2</v>
      </c>
      <c r="I150" s="46" t="s">
        <v>593</v>
      </c>
      <c r="J150" t="s">
        <v>594</v>
      </c>
    </row>
    <row r="151" spans="1:10" x14ac:dyDescent="0.3">
      <c r="A151" s="2" t="s">
        <v>252</v>
      </c>
      <c r="B151" t="s">
        <v>3</v>
      </c>
      <c r="I151" s="46" t="s">
        <v>595</v>
      </c>
      <c r="J151" t="s">
        <v>596</v>
      </c>
    </row>
    <row r="152" spans="1:10" x14ac:dyDescent="0.3">
      <c r="A152" s="2" t="s">
        <v>252</v>
      </c>
      <c r="B152" t="s">
        <v>4</v>
      </c>
      <c r="I152" s="46" t="s">
        <v>597</v>
      </c>
      <c r="J152" t="s">
        <v>598</v>
      </c>
    </row>
    <row r="153" spans="1:10" x14ac:dyDescent="0.3">
      <c r="A153" s="2" t="s">
        <v>252</v>
      </c>
      <c r="B153" t="s">
        <v>6</v>
      </c>
      <c r="I153" s="46" t="s">
        <v>599</v>
      </c>
      <c r="J153" t="s">
        <v>600</v>
      </c>
    </row>
    <row r="154" spans="1:10" x14ac:dyDescent="0.3">
      <c r="A154" s="2" t="s">
        <v>252</v>
      </c>
      <c r="B154" t="s">
        <v>7</v>
      </c>
      <c r="I154" s="46" t="s">
        <v>601</v>
      </c>
      <c r="J154" t="s">
        <v>602</v>
      </c>
    </row>
    <row r="155" spans="1:10" x14ac:dyDescent="0.3">
      <c r="A155" s="2" t="s">
        <v>252</v>
      </c>
      <c r="B155" t="s">
        <v>8</v>
      </c>
      <c r="I155" s="46" t="s">
        <v>603</v>
      </c>
      <c r="J155" t="s">
        <v>604</v>
      </c>
    </row>
    <row r="156" spans="1:10" x14ac:dyDescent="0.3">
      <c r="A156" s="2" t="s">
        <v>252</v>
      </c>
      <c r="B156" t="s">
        <v>10</v>
      </c>
      <c r="I156" s="46" t="s">
        <v>605</v>
      </c>
      <c r="J156" t="s">
        <v>606</v>
      </c>
    </row>
    <row r="157" spans="1:10" x14ac:dyDescent="0.3">
      <c r="A157" s="2" t="s">
        <v>252</v>
      </c>
      <c r="B157" t="s">
        <v>11</v>
      </c>
      <c r="I157" s="46" t="s">
        <v>607</v>
      </c>
      <c r="J157" t="s">
        <v>608</v>
      </c>
    </row>
    <row r="158" spans="1:10" x14ac:dyDescent="0.3">
      <c r="A158" s="2" t="s">
        <v>252</v>
      </c>
      <c r="B158" t="s">
        <v>12</v>
      </c>
      <c r="I158" s="46" t="s">
        <v>609</v>
      </c>
      <c r="J158" t="s">
        <v>610</v>
      </c>
    </row>
    <row r="159" spans="1:10" x14ac:dyDescent="0.3">
      <c r="A159" s="2" t="s">
        <v>253</v>
      </c>
      <c r="B159" t="s">
        <v>237</v>
      </c>
      <c r="I159" s="46" t="s">
        <v>611</v>
      </c>
      <c r="J159" t="s">
        <v>612</v>
      </c>
    </row>
    <row r="160" spans="1:10" x14ac:dyDescent="0.3">
      <c r="A160" s="2" t="s">
        <v>253</v>
      </c>
      <c r="B160" t="s">
        <v>238</v>
      </c>
      <c r="I160" s="46" t="s">
        <v>613</v>
      </c>
      <c r="J160" t="s">
        <v>614</v>
      </c>
    </row>
    <row r="161" spans="1:10" x14ac:dyDescent="0.3">
      <c r="A161" s="2" t="s">
        <v>253</v>
      </c>
      <c r="B161" t="s">
        <v>1</v>
      </c>
      <c r="I161" s="46" t="s">
        <v>615</v>
      </c>
      <c r="J161" t="s">
        <v>616</v>
      </c>
    </row>
    <row r="162" spans="1:10" x14ac:dyDescent="0.3">
      <c r="A162" s="2" t="s">
        <v>253</v>
      </c>
      <c r="B162" t="s">
        <v>2</v>
      </c>
      <c r="I162" s="46" t="s">
        <v>617</v>
      </c>
      <c r="J162" t="s">
        <v>618</v>
      </c>
    </row>
    <row r="163" spans="1:10" x14ac:dyDescent="0.3">
      <c r="A163" s="2" t="s">
        <v>253</v>
      </c>
      <c r="B163" t="s">
        <v>3</v>
      </c>
      <c r="I163" s="46" t="s">
        <v>619</v>
      </c>
      <c r="J163" t="s">
        <v>620</v>
      </c>
    </row>
    <row r="164" spans="1:10" x14ac:dyDescent="0.3">
      <c r="A164" s="2" t="s">
        <v>253</v>
      </c>
      <c r="B164" t="s">
        <v>4</v>
      </c>
      <c r="I164" s="46" t="s">
        <v>621</v>
      </c>
      <c r="J164" t="s">
        <v>622</v>
      </c>
    </row>
    <row r="165" spans="1:10" x14ac:dyDescent="0.3">
      <c r="A165" s="2" t="s">
        <v>253</v>
      </c>
      <c r="B165" t="s">
        <v>6</v>
      </c>
      <c r="I165" s="46" t="s">
        <v>623</v>
      </c>
      <c r="J165" t="s">
        <v>624</v>
      </c>
    </row>
    <row r="166" spans="1:10" x14ac:dyDescent="0.3">
      <c r="A166" s="2" t="s">
        <v>253</v>
      </c>
      <c r="B166" t="s">
        <v>7</v>
      </c>
      <c r="I166" s="46" t="s">
        <v>625</v>
      </c>
      <c r="J166" t="s">
        <v>626</v>
      </c>
    </row>
    <row r="167" spans="1:10" x14ac:dyDescent="0.3">
      <c r="A167" s="2" t="s">
        <v>253</v>
      </c>
      <c r="B167" t="s">
        <v>8</v>
      </c>
      <c r="I167" s="46" t="s">
        <v>627</v>
      </c>
      <c r="J167" t="s">
        <v>628</v>
      </c>
    </row>
    <row r="168" spans="1:10" x14ac:dyDescent="0.3">
      <c r="A168" s="2" t="s">
        <v>253</v>
      </c>
      <c r="B168" t="s">
        <v>10</v>
      </c>
      <c r="I168" s="46" t="s">
        <v>629</v>
      </c>
      <c r="J168" t="s">
        <v>630</v>
      </c>
    </row>
    <row r="169" spans="1:10" x14ac:dyDescent="0.3">
      <c r="A169" s="2" t="s">
        <v>253</v>
      </c>
      <c r="B169" t="s">
        <v>11</v>
      </c>
      <c r="I169" s="46" t="s">
        <v>631</v>
      </c>
      <c r="J169" t="s">
        <v>632</v>
      </c>
    </row>
    <row r="170" spans="1:10" x14ac:dyDescent="0.3">
      <c r="A170" s="2" t="s">
        <v>253</v>
      </c>
      <c r="B170" t="s">
        <v>12</v>
      </c>
      <c r="I170" s="46" t="s">
        <v>633</v>
      </c>
      <c r="J170" t="s">
        <v>634</v>
      </c>
    </row>
    <row r="171" spans="1:10" x14ac:dyDescent="0.3">
      <c r="A171" s="45" t="s">
        <v>15</v>
      </c>
      <c r="B171" t="s">
        <v>237</v>
      </c>
      <c r="I171" s="46" t="s">
        <v>635</v>
      </c>
      <c r="J171" t="s">
        <v>636</v>
      </c>
    </row>
    <row r="172" spans="1:10" x14ac:dyDescent="0.3">
      <c r="A172" s="45" t="s">
        <v>15</v>
      </c>
      <c r="B172" t="s">
        <v>238</v>
      </c>
      <c r="I172" s="46" t="s">
        <v>637</v>
      </c>
      <c r="J172" t="s">
        <v>638</v>
      </c>
    </row>
    <row r="173" spans="1:10" x14ac:dyDescent="0.3">
      <c r="A173" s="45" t="s">
        <v>15</v>
      </c>
      <c r="B173" t="s">
        <v>1</v>
      </c>
      <c r="I173" s="46" t="s">
        <v>639</v>
      </c>
      <c r="J173" t="s">
        <v>640</v>
      </c>
    </row>
    <row r="174" spans="1:10" x14ac:dyDescent="0.3">
      <c r="A174" s="45" t="s">
        <v>15</v>
      </c>
      <c r="B174" t="s">
        <v>2</v>
      </c>
      <c r="I174" s="46" t="s">
        <v>641</v>
      </c>
      <c r="J174" t="s">
        <v>642</v>
      </c>
    </row>
    <row r="175" spans="1:10" x14ac:dyDescent="0.3">
      <c r="A175" s="45" t="s">
        <v>15</v>
      </c>
      <c r="B175" t="s">
        <v>3</v>
      </c>
      <c r="I175" s="46" t="s">
        <v>643</v>
      </c>
      <c r="J175" t="s">
        <v>644</v>
      </c>
    </row>
    <row r="176" spans="1:10" x14ac:dyDescent="0.3">
      <c r="A176" s="45" t="s">
        <v>15</v>
      </c>
      <c r="B176" t="s">
        <v>4</v>
      </c>
      <c r="I176" s="46" t="s">
        <v>645</v>
      </c>
      <c r="J176" t="s">
        <v>646</v>
      </c>
    </row>
    <row r="177" spans="1:10" x14ac:dyDescent="0.3">
      <c r="A177" s="45" t="s">
        <v>15</v>
      </c>
      <c r="B177" t="s">
        <v>6</v>
      </c>
      <c r="I177" s="46" t="s">
        <v>647</v>
      </c>
      <c r="J177" t="s">
        <v>648</v>
      </c>
    </row>
    <row r="178" spans="1:10" x14ac:dyDescent="0.3">
      <c r="A178" s="45" t="s">
        <v>15</v>
      </c>
      <c r="B178" t="s">
        <v>7</v>
      </c>
      <c r="I178" s="46" t="s">
        <v>649</v>
      </c>
      <c r="J178" t="s">
        <v>650</v>
      </c>
    </row>
    <row r="179" spans="1:10" x14ac:dyDescent="0.3">
      <c r="A179" s="45" t="s">
        <v>15</v>
      </c>
      <c r="B179" t="s">
        <v>8</v>
      </c>
      <c r="I179" s="46" t="s">
        <v>651</v>
      </c>
      <c r="J179" t="s">
        <v>652</v>
      </c>
    </row>
    <row r="180" spans="1:10" x14ac:dyDescent="0.3">
      <c r="A180" s="45" t="s">
        <v>15</v>
      </c>
      <c r="B180" t="s">
        <v>10</v>
      </c>
      <c r="I180" s="46" t="s">
        <v>653</v>
      </c>
      <c r="J180" t="s">
        <v>654</v>
      </c>
    </row>
    <row r="181" spans="1:10" x14ac:dyDescent="0.3">
      <c r="A181" s="45" t="s">
        <v>15</v>
      </c>
      <c r="B181" t="s">
        <v>11</v>
      </c>
      <c r="I181" s="46" t="s">
        <v>655</v>
      </c>
      <c r="J181" t="s">
        <v>656</v>
      </c>
    </row>
    <row r="182" spans="1:10" x14ac:dyDescent="0.3">
      <c r="A182" s="45" t="s">
        <v>15</v>
      </c>
      <c r="B182" t="s">
        <v>12</v>
      </c>
      <c r="I182" s="46" t="s">
        <v>657</v>
      </c>
      <c r="J182" t="s">
        <v>658</v>
      </c>
    </row>
    <row r="183" spans="1:10" x14ac:dyDescent="0.3">
      <c r="A183" t="s">
        <v>1309</v>
      </c>
      <c r="B183" t="s">
        <v>237</v>
      </c>
      <c r="I183" s="46" t="s">
        <v>659</v>
      </c>
      <c r="J183" t="s">
        <v>660</v>
      </c>
    </row>
    <row r="184" spans="1:10" x14ac:dyDescent="0.3">
      <c r="A184" t="s">
        <v>1309</v>
      </c>
      <c r="B184" t="s">
        <v>238</v>
      </c>
      <c r="I184" s="46" t="s">
        <v>661</v>
      </c>
      <c r="J184" t="s">
        <v>662</v>
      </c>
    </row>
    <row r="185" spans="1:10" x14ac:dyDescent="0.3">
      <c r="A185" t="s">
        <v>1309</v>
      </c>
      <c r="B185" t="s">
        <v>1</v>
      </c>
      <c r="I185" s="46" t="s">
        <v>663</v>
      </c>
      <c r="J185" t="s">
        <v>664</v>
      </c>
    </row>
    <row r="186" spans="1:10" x14ac:dyDescent="0.3">
      <c r="A186" t="s">
        <v>1309</v>
      </c>
      <c r="B186" t="s">
        <v>2</v>
      </c>
      <c r="I186" s="46" t="s">
        <v>665</v>
      </c>
      <c r="J186" t="s">
        <v>666</v>
      </c>
    </row>
    <row r="187" spans="1:10" x14ac:dyDescent="0.3">
      <c r="A187" t="s">
        <v>1309</v>
      </c>
      <c r="B187" t="s">
        <v>3</v>
      </c>
      <c r="I187" s="46" t="s">
        <v>667</v>
      </c>
      <c r="J187" t="s">
        <v>668</v>
      </c>
    </row>
    <row r="188" spans="1:10" x14ac:dyDescent="0.3">
      <c r="A188" t="s">
        <v>1309</v>
      </c>
      <c r="B188" t="s">
        <v>4</v>
      </c>
      <c r="I188" s="46" t="s">
        <v>669</v>
      </c>
      <c r="J188" t="s">
        <v>670</v>
      </c>
    </row>
    <row r="189" spans="1:10" x14ac:dyDescent="0.3">
      <c r="A189" t="s">
        <v>1309</v>
      </c>
      <c r="B189" t="s">
        <v>6</v>
      </c>
      <c r="I189" s="46" t="s">
        <v>671</v>
      </c>
      <c r="J189" t="s">
        <v>672</v>
      </c>
    </row>
    <row r="190" spans="1:10" x14ac:dyDescent="0.3">
      <c r="A190" t="s">
        <v>1309</v>
      </c>
      <c r="B190" t="s">
        <v>7</v>
      </c>
      <c r="I190" s="46" t="s">
        <v>673</v>
      </c>
      <c r="J190" t="s">
        <v>674</v>
      </c>
    </row>
    <row r="191" spans="1:10" x14ac:dyDescent="0.3">
      <c r="A191" t="s">
        <v>1309</v>
      </c>
      <c r="B191" t="s">
        <v>8</v>
      </c>
      <c r="I191" s="46" t="s">
        <v>675</v>
      </c>
      <c r="J191" t="s">
        <v>676</v>
      </c>
    </row>
    <row r="192" spans="1:10" x14ac:dyDescent="0.3">
      <c r="A192" t="s">
        <v>1309</v>
      </c>
      <c r="B192" t="s">
        <v>10</v>
      </c>
      <c r="I192" s="46" t="s">
        <v>677</v>
      </c>
      <c r="J192" t="s">
        <v>678</v>
      </c>
    </row>
    <row r="193" spans="1:10" x14ac:dyDescent="0.3">
      <c r="A193" t="s">
        <v>1309</v>
      </c>
      <c r="B193" t="s">
        <v>11</v>
      </c>
      <c r="I193" s="46" t="s">
        <v>679</v>
      </c>
      <c r="J193" t="s">
        <v>680</v>
      </c>
    </row>
    <row r="194" spans="1:10" x14ac:dyDescent="0.3">
      <c r="A194" t="s">
        <v>1309</v>
      </c>
      <c r="B194" t="s">
        <v>12</v>
      </c>
      <c r="I194" s="46" t="s">
        <v>681</v>
      </c>
      <c r="J194" t="s">
        <v>682</v>
      </c>
    </row>
    <row r="195" spans="1:10" x14ac:dyDescent="0.3">
      <c r="A195" t="s">
        <v>246</v>
      </c>
      <c r="B195" t="s">
        <v>254</v>
      </c>
      <c r="I195" s="46" t="s">
        <v>683</v>
      </c>
      <c r="J195" t="s">
        <v>684</v>
      </c>
    </row>
    <row r="196" spans="1:10" x14ac:dyDescent="0.3">
      <c r="A196" t="s">
        <v>246</v>
      </c>
      <c r="B196" t="s">
        <v>255</v>
      </c>
      <c r="I196" s="46" t="s">
        <v>685</v>
      </c>
      <c r="J196" t="s">
        <v>686</v>
      </c>
    </row>
    <row r="197" spans="1:10" x14ac:dyDescent="0.3">
      <c r="A197" t="s">
        <v>246</v>
      </c>
      <c r="B197" t="s">
        <v>256</v>
      </c>
      <c r="I197" s="46" t="s">
        <v>687</v>
      </c>
      <c r="J197" t="s">
        <v>688</v>
      </c>
    </row>
    <row r="198" spans="1:10" x14ac:dyDescent="0.3">
      <c r="A198" t="s">
        <v>246</v>
      </c>
      <c r="B198" t="s">
        <v>257</v>
      </c>
      <c r="I198" s="46" t="s">
        <v>689</v>
      </c>
      <c r="J198" t="s">
        <v>690</v>
      </c>
    </row>
    <row r="199" spans="1:10" x14ac:dyDescent="0.3">
      <c r="A199" t="s">
        <v>246</v>
      </c>
      <c r="B199" t="s">
        <v>258</v>
      </c>
      <c r="I199" s="46" t="s">
        <v>691</v>
      </c>
      <c r="J199" t="s">
        <v>692</v>
      </c>
    </row>
    <row r="200" spans="1:10" x14ac:dyDescent="0.3">
      <c r="A200" t="s">
        <v>246</v>
      </c>
      <c r="B200" t="s">
        <v>259</v>
      </c>
      <c r="I200" s="46" t="s">
        <v>693</v>
      </c>
      <c r="J200" t="s">
        <v>694</v>
      </c>
    </row>
    <row r="201" spans="1:10" x14ac:dyDescent="0.3">
      <c r="A201" t="s">
        <v>246</v>
      </c>
      <c r="B201" t="s">
        <v>260</v>
      </c>
      <c r="I201" s="46" t="s">
        <v>695</v>
      </c>
      <c r="J201" t="s">
        <v>696</v>
      </c>
    </row>
    <row r="202" spans="1:10" x14ac:dyDescent="0.3">
      <c r="A202" t="s">
        <v>246</v>
      </c>
      <c r="B202" t="s">
        <v>261</v>
      </c>
      <c r="I202" s="46" t="s">
        <v>697</v>
      </c>
      <c r="J202" t="s">
        <v>698</v>
      </c>
    </row>
    <row r="203" spans="1:10" x14ac:dyDescent="0.3">
      <c r="A203" t="s">
        <v>246</v>
      </c>
      <c r="B203" t="s">
        <v>262</v>
      </c>
      <c r="I203" s="46" t="s">
        <v>699</v>
      </c>
      <c r="J203" t="s">
        <v>700</v>
      </c>
    </row>
    <row r="204" spans="1:10" x14ac:dyDescent="0.3">
      <c r="A204" t="s">
        <v>246</v>
      </c>
      <c r="B204" t="s">
        <v>263</v>
      </c>
      <c r="I204" s="46" t="s">
        <v>701</v>
      </c>
      <c r="J204" t="s">
        <v>702</v>
      </c>
    </row>
    <row r="205" spans="1:10" x14ac:dyDescent="0.3">
      <c r="A205" t="s">
        <v>246</v>
      </c>
      <c r="B205" t="s">
        <v>264</v>
      </c>
      <c r="I205" s="46" t="s">
        <v>703</v>
      </c>
      <c r="J205" t="s">
        <v>704</v>
      </c>
    </row>
    <row r="206" spans="1:10" x14ac:dyDescent="0.3">
      <c r="A206" t="s">
        <v>246</v>
      </c>
      <c r="B206" t="s">
        <v>265</v>
      </c>
      <c r="I206" s="46" t="s">
        <v>705</v>
      </c>
      <c r="J206" t="s">
        <v>706</v>
      </c>
    </row>
    <row r="207" spans="1:10" x14ac:dyDescent="0.3">
      <c r="A207" t="s">
        <v>246</v>
      </c>
      <c r="B207" t="s">
        <v>266</v>
      </c>
      <c r="I207" s="46" t="s">
        <v>707</v>
      </c>
      <c r="J207" t="s">
        <v>708</v>
      </c>
    </row>
    <row r="208" spans="1:10" x14ac:dyDescent="0.3">
      <c r="A208" t="s">
        <v>246</v>
      </c>
      <c r="B208" t="s">
        <v>267</v>
      </c>
      <c r="I208" s="46" t="s">
        <v>709</v>
      </c>
      <c r="J208" t="s">
        <v>710</v>
      </c>
    </row>
    <row r="209" spans="1:10" x14ac:dyDescent="0.3">
      <c r="A209" t="s">
        <v>246</v>
      </c>
      <c r="B209" t="s">
        <v>268</v>
      </c>
      <c r="I209" s="46" t="s">
        <v>711</v>
      </c>
      <c r="J209" t="s">
        <v>712</v>
      </c>
    </row>
    <row r="210" spans="1:10" x14ac:dyDescent="0.3">
      <c r="A210" t="s">
        <v>246</v>
      </c>
      <c r="B210" t="s">
        <v>269</v>
      </c>
      <c r="I210" s="46" t="s">
        <v>713</v>
      </c>
      <c r="J210" t="s">
        <v>714</v>
      </c>
    </row>
    <row r="211" spans="1:10" x14ac:dyDescent="0.3">
      <c r="A211" t="s">
        <v>247</v>
      </c>
      <c r="B211" t="s">
        <v>270</v>
      </c>
      <c r="I211" s="46" t="s">
        <v>715</v>
      </c>
      <c r="J211" t="s">
        <v>716</v>
      </c>
    </row>
    <row r="212" spans="1:10" x14ac:dyDescent="0.3">
      <c r="A212" t="s">
        <v>247</v>
      </c>
      <c r="B212" t="s">
        <v>271</v>
      </c>
      <c r="I212" s="46" t="s">
        <v>717</v>
      </c>
      <c r="J212" t="s">
        <v>718</v>
      </c>
    </row>
    <row r="213" spans="1:10" x14ac:dyDescent="0.3">
      <c r="A213" t="s">
        <v>247</v>
      </c>
      <c r="B213" t="s">
        <v>272</v>
      </c>
      <c r="I213" s="46" t="s">
        <v>719</v>
      </c>
      <c r="J213" t="s">
        <v>720</v>
      </c>
    </row>
    <row r="214" spans="1:10" x14ac:dyDescent="0.3">
      <c r="A214" t="s">
        <v>247</v>
      </c>
      <c r="B214" t="s">
        <v>273</v>
      </c>
      <c r="I214" s="46" t="s">
        <v>721</v>
      </c>
      <c r="J214" t="s">
        <v>722</v>
      </c>
    </row>
    <row r="215" spans="1:10" x14ac:dyDescent="0.3">
      <c r="A215" t="s">
        <v>247</v>
      </c>
      <c r="B215" t="s">
        <v>274</v>
      </c>
      <c r="I215" s="46" t="s">
        <v>723</v>
      </c>
      <c r="J215" t="s">
        <v>724</v>
      </c>
    </row>
    <row r="216" spans="1:10" x14ac:dyDescent="0.3">
      <c r="A216" t="s">
        <v>247</v>
      </c>
      <c r="B216" t="s">
        <v>275</v>
      </c>
      <c r="I216" s="46" t="s">
        <v>725</v>
      </c>
      <c r="J216" t="s">
        <v>726</v>
      </c>
    </row>
    <row r="217" spans="1:10" x14ac:dyDescent="0.3">
      <c r="A217" t="s">
        <v>247</v>
      </c>
      <c r="B217" t="s">
        <v>276</v>
      </c>
      <c r="I217" s="46" t="s">
        <v>727</v>
      </c>
      <c r="J217" t="s">
        <v>728</v>
      </c>
    </row>
    <row r="218" spans="1:10" x14ac:dyDescent="0.3">
      <c r="A218" t="s">
        <v>247</v>
      </c>
      <c r="B218" t="s">
        <v>277</v>
      </c>
      <c r="I218" s="46" t="s">
        <v>729</v>
      </c>
      <c r="J218" t="s">
        <v>730</v>
      </c>
    </row>
    <row r="219" spans="1:10" x14ac:dyDescent="0.3">
      <c r="A219" t="s">
        <v>247</v>
      </c>
      <c r="B219" t="s">
        <v>263</v>
      </c>
      <c r="I219" s="46" t="s">
        <v>731</v>
      </c>
      <c r="J219" t="s">
        <v>732</v>
      </c>
    </row>
    <row r="220" spans="1:10" x14ac:dyDescent="0.3">
      <c r="A220" t="s">
        <v>247</v>
      </c>
      <c r="B220" t="s">
        <v>278</v>
      </c>
      <c r="I220" s="46" t="s">
        <v>733</v>
      </c>
      <c r="J220" t="s">
        <v>734</v>
      </c>
    </row>
    <row r="221" spans="1:10" x14ac:dyDescent="0.3">
      <c r="A221" t="s">
        <v>247</v>
      </c>
      <c r="B221" t="s">
        <v>279</v>
      </c>
      <c r="I221" s="46" t="s">
        <v>735</v>
      </c>
      <c r="J221" t="s">
        <v>736</v>
      </c>
    </row>
    <row r="222" spans="1:10" x14ac:dyDescent="0.3">
      <c r="A222" t="s">
        <v>247</v>
      </c>
      <c r="B222" t="s">
        <v>280</v>
      </c>
      <c r="I222" s="46" t="s">
        <v>737</v>
      </c>
      <c r="J222" t="s">
        <v>738</v>
      </c>
    </row>
    <row r="223" spans="1:10" x14ac:dyDescent="0.3">
      <c r="A223" t="s">
        <v>13</v>
      </c>
      <c r="B223" t="s">
        <v>281</v>
      </c>
      <c r="I223" s="46" t="s">
        <v>739</v>
      </c>
      <c r="J223" t="s">
        <v>740</v>
      </c>
    </row>
    <row r="224" spans="1:10" x14ac:dyDescent="0.3">
      <c r="A224" t="s">
        <v>13</v>
      </c>
      <c r="B224" t="s">
        <v>282</v>
      </c>
      <c r="I224" s="46" t="s">
        <v>741</v>
      </c>
      <c r="J224" t="s">
        <v>742</v>
      </c>
    </row>
    <row r="225" spans="1:10" x14ac:dyDescent="0.3">
      <c r="A225" t="s">
        <v>13</v>
      </c>
      <c r="B225" t="s">
        <v>283</v>
      </c>
      <c r="I225" s="46" t="s">
        <v>743</v>
      </c>
      <c r="J225" t="s">
        <v>744</v>
      </c>
    </row>
    <row r="226" spans="1:10" x14ac:dyDescent="0.3">
      <c r="A226" t="s">
        <v>13</v>
      </c>
      <c r="B226" t="s">
        <v>284</v>
      </c>
      <c r="I226" s="46" t="s">
        <v>745</v>
      </c>
      <c r="J226" t="s">
        <v>746</v>
      </c>
    </row>
    <row r="227" spans="1:10" x14ac:dyDescent="0.3">
      <c r="A227" t="s">
        <v>13</v>
      </c>
      <c r="B227" t="s">
        <v>285</v>
      </c>
      <c r="I227" s="46" t="s">
        <v>747</v>
      </c>
      <c r="J227" t="s">
        <v>748</v>
      </c>
    </row>
    <row r="228" spans="1:10" x14ac:dyDescent="0.3">
      <c r="A228" t="s">
        <v>13</v>
      </c>
      <c r="B228" t="s">
        <v>269</v>
      </c>
      <c r="I228" s="46" t="s">
        <v>749</v>
      </c>
      <c r="J228" t="s">
        <v>750</v>
      </c>
    </row>
    <row r="229" spans="1:10" x14ac:dyDescent="0.3">
      <c r="A229" t="s">
        <v>13</v>
      </c>
      <c r="B229" t="s">
        <v>286</v>
      </c>
      <c r="I229" s="46" t="s">
        <v>751</v>
      </c>
      <c r="J229" t="s">
        <v>752</v>
      </c>
    </row>
    <row r="230" spans="1:10" x14ac:dyDescent="0.3">
      <c r="A230" t="s">
        <v>13</v>
      </c>
      <c r="B230" t="s">
        <v>261</v>
      </c>
      <c r="I230" s="46" t="s">
        <v>753</v>
      </c>
      <c r="J230" t="s">
        <v>754</v>
      </c>
    </row>
    <row r="231" spans="1:10" x14ac:dyDescent="0.3">
      <c r="A231" t="s">
        <v>13</v>
      </c>
      <c r="B231" t="s">
        <v>287</v>
      </c>
      <c r="I231" s="46" t="s">
        <v>755</v>
      </c>
      <c r="J231" t="s">
        <v>756</v>
      </c>
    </row>
    <row r="232" spans="1:10" x14ac:dyDescent="0.3">
      <c r="A232" t="s">
        <v>13</v>
      </c>
      <c r="B232" t="s">
        <v>267</v>
      </c>
      <c r="I232" s="46" t="s">
        <v>757</v>
      </c>
      <c r="J232" t="s">
        <v>758</v>
      </c>
    </row>
    <row r="233" spans="1:10" x14ac:dyDescent="0.3">
      <c r="A233" t="s">
        <v>13</v>
      </c>
      <c r="B233" t="s">
        <v>268</v>
      </c>
      <c r="I233" s="46" t="s">
        <v>759</v>
      </c>
      <c r="J233" t="s">
        <v>760</v>
      </c>
    </row>
    <row r="234" spans="1:10" x14ac:dyDescent="0.3">
      <c r="A234" t="s">
        <v>13</v>
      </c>
      <c r="B234" t="s">
        <v>288</v>
      </c>
      <c r="I234" s="46" t="s">
        <v>761</v>
      </c>
      <c r="J234" t="s">
        <v>762</v>
      </c>
    </row>
    <row r="235" spans="1:10" x14ac:dyDescent="0.3">
      <c r="A235" t="s">
        <v>13</v>
      </c>
      <c r="B235" t="s">
        <v>289</v>
      </c>
      <c r="I235" s="46" t="s">
        <v>763</v>
      </c>
      <c r="J235" t="s">
        <v>764</v>
      </c>
    </row>
    <row r="236" spans="1:10" x14ac:dyDescent="0.3">
      <c r="A236" t="s">
        <v>13</v>
      </c>
      <c r="B236" t="s">
        <v>290</v>
      </c>
      <c r="I236" s="46" t="s">
        <v>765</v>
      </c>
      <c r="J236" t="s">
        <v>766</v>
      </c>
    </row>
    <row r="237" spans="1:10" x14ac:dyDescent="0.3">
      <c r="A237" t="s">
        <v>13</v>
      </c>
      <c r="B237" t="s">
        <v>266</v>
      </c>
      <c r="I237" s="46" t="s">
        <v>767</v>
      </c>
      <c r="J237" t="s">
        <v>768</v>
      </c>
    </row>
    <row r="238" spans="1:10" x14ac:dyDescent="0.3">
      <c r="A238" t="s">
        <v>13</v>
      </c>
      <c r="B238" t="s">
        <v>291</v>
      </c>
      <c r="I238" s="46" t="s">
        <v>769</v>
      </c>
      <c r="J238" t="s">
        <v>770</v>
      </c>
    </row>
    <row r="239" spans="1:10" x14ac:dyDescent="0.3">
      <c r="A239" t="s">
        <v>13</v>
      </c>
      <c r="B239" t="s">
        <v>292</v>
      </c>
      <c r="I239" s="46" t="s">
        <v>771</v>
      </c>
      <c r="J239" t="s">
        <v>772</v>
      </c>
    </row>
    <row r="240" spans="1:10" x14ac:dyDescent="0.3">
      <c r="A240" t="s">
        <v>13</v>
      </c>
      <c r="B240" t="s">
        <v>293</v>
      </c>
      <c r="I240" s="46" t="s">
        <v>773</v>
      </c>
      <c r="J240" t="s">
        <v>774</v>
      </c>
    </row>
    <row r="241" spans="1:10" x14ac:dyDescent="0.3">
      <c r="A241" t="s">
        <v>13</v>
      </c>
      <c r="B241" t="s">
        <v>294</v>
      </c>
      <c r="I241" s="46" t="s">
        <v>775</v>
      </c>
      <c r="J241" t="s">
        <v>776</v>
      </c>
    </row>
    <row r="242" spans="1:10" x14ac:dyDescent="0.3">
      <c r="A242" t="s">
        <v>13</v>
      </c>
      <c r="B242" t="s">
        <v>295</v>
      </c>
      <c r="I242" s="46" t="s">
        <v>777</v>
      </c>
      <c r="J242" t="s">
        <v>778</v>
      </c>
    </row>
    <row r="243" spans="1:10" x14ac:dyDescent="0.3">
      <c r="A243" t="s">
        <v>13</v>
      </c>
      <c r="B243" t="s">
        <v>296</v>
      </c>
      <c r="I243" s="46" t="s">
        <v>779</v>
      </c>
      <c r="J243" t="s">
        <v>780</v>
      </c>
    </row>
    <row r="244" spans="1:10" x14ac:dyDescent="0.3">
      <c r="I244" s="46" t="s">
        <v>781</v>
      </c>
      <c r="J244" t="s">
        <v>782</v>
      </c>
    </row>
    <row r="245" spans="1:10" x14ac:dyDescent="0.3">
      <c r="I245" s="46" t="s">
        <v>783</v>
      </c>
      <c r="J245" t="s">
        <v>784</v>
      </c>
    </row>
    <row r="246" spans="1:10" x14ac:dyDescent="0.3">
      <c r="I246" s="46" t="s">
        <v>785</v>
      </c>
      <c r="J246" t="s">
        <v>786</v>
      </c>
    </row>
    <row r="247" spans="1:10" x14ac:dyDescent="0.3">
      <c r="I247" s="46" t="s">
        <v>787</v>
      </c>
      <c r="J247" t="s">
        <v>788</v>
      </c>
    </row>
    <row r="248" spans="1:10" x14ac:dyDescent="0.3">
      <c r="I248" s="46" t="s">
        <v>789</v>
      </c>
      <c r="J248" t="s">
        <v>790</v>
      </c>
    </row>
    <row r="249" spans="1:10" x14ac:dyDescent="0.3">
      <c r="I249" s="46" t="s">
        <v>791</v>
      </c>
      <c r="J249" t="s">
        <v>792</v>
      </c>
    </row>
    <row r="250" spans="1:10" x14ac:dyDescent="0.3">
      <c r="I250" s="46" t="s">
        <v>793</v>
      </c>
      <c r="J250" t="s">
        <v>794</v>
      </c>
    </row>
    <row r="251" spans="1:10" x14ac:dyDescent="0.3">
      <c r="I251" s="46" t="s">
        <v>795</v>
      </c>
      <c r="J251" t="s">
        <v>796</v>
      </c>
    </row>
    <row r="252" spans="1:10" x14ac:dyDescent="0.3">
      <c r="I252" s="46" t="s">
        <v>797</v>
      </c>
      <c r="J252" t="s">
        <v>798</v>
      </c>
    </row>
    <row r="253" spans="1:10" x14ac:dyDescent="0.3">
      <c r="I253" s="46" t="s">
        <v>799</v>
      </c>
      <c r="J253" t="s">
        <v>800</v>
      </c>
    </row>
    <row r="254" spans="1:10" x14ac:dyDescent="0.3">
      <c r="I254" s="46" t="s">
        <v>801</v>
      </c>
      <c r="J254" t="s">
        <v>802</v>
      </c>
    </row>
    <row r="255" spans="1:10" x14ac:dyDescent="0.3">
      <c r="I255" s="46" t="s">
        <v>803</v>
      </c>
      <c r="J255" t="s">
        <v>804</v>
      </c>
    </row>
    <row r="256" spans="1:10" x14ac:dyDescent="0.3">
      <c r="I256" s="46" t="s">
        <v>805</v>
      </c>
      <c r="J256" t="s">
        <v>806</v>
      </c>
    </row>
    <row r="257" spans="9:10" x14ac:dyDescent="0.3">
      <c r="I257" s="46" t="s">
        <v>807</v>
      </c>
      <c r="J257" t="s">
        <v>808</v>
      </c>
    </row>
    <row r="258" spans="9:10" x14ac:dyDescent="0.3">
      <c r="I258" s="46" t="s">
        <v>809</v>
      </c>
      <c r="J258" t="s">
        <v>810</v>
      </c>
    </row>
    <row r="259" spans="9:10" x14ac:dyDescent="0.3">
      <c r="I259" s="46" t="s">
        <v>811</v>
      </c>
      <c r="J259" t="s">
        <v>812</v>
      </c>
    </row>
    <row r="260" spans="9:10" x14ac:dyDescent="0.3">
      <c r="I260" s="46" t="s">
        <v>813</v>
      </c>
      <c r="J260" t="s">
        <v>814</v>
      </c>
    </row>
    <row r="261" spans="9:10" x14ac:dyDescent="0.3">
      <c r="I261" s="46" t="s">
        <v>815</v>
      </c>
      <c r="J261" t="s">
        <v>816</v>
      </c>
    </row>
    <row r="262" spans="9:10" x14ac:dyDescent="0.3">
      <c r="I262" s="46" t="s">
        <v>817</v>
      </c>
      <c r="J262" t="s">
        <v>818</v>
      </c>
    </row>
    <row r="263" spans="9:10" x14ac:dyDescent="0.3">
      <c r="I263" s="46" t="s">
        <v>819</v>
      </c>
      <c r="J263" t="s">
        <v>820</v>
      </c>
    </row>
    <row r="264" spans="9:10" x14ac:dyDescent="0.3">
      <c r="I264" s="46" t="s">
        <v>821</v>
      </c>
      <c r="J264" t="s">
        <v>822</v>
      </c>
    </row>
    <row r="265" spans="9:10" x14ac:dyDescent="0.3">
      <c r="I265" s="46" t="s">
        <v>823</v>
      </c>
      <c r="J265" t="s">
        <v>824</v>
      </c>
    </row>
    <row r="266" spans="9:10" x14ac:dyDescent="0.3">
      <c r="I266" s="46" t="s">
        <v>825</v>
      </c>
      <c r="J266" t="s">
        <v>826</v>
      </c>
    </row>
    <row r="267" spans="9:10" x14ac:dyDescent="0.3">
      <c r="I267" s="46" t="s">
        <v>827</v>
      </c>
      <c r="J267" t="s">
        <v>828</v>
      </c>
    </row>
    <row r="268" spans="9:10" x14ac:dyDescent="0.3">
      <c r="I268" s="46" t="s">
        <v>829</v>
      </c>
      <c r="J268" t="s">
        <v>830</v>
      </c>
    </row>
    <row r="269" spans="9:10" x14ac:dyDescent="0.3">
      <c r="I269" s="46" t="s">
        <v>831</v>
      </c>
      <c r="J269" t="s">
        <v>832</v>
      </c>
    </row>
    <row r="270" spans="9:10" x14ac:dyDescent="0.3">
      <c r="I270" s="46" t="s">
        <v>833</v>
      </c>
      <c r="J270" t="s">
        <v>834</v>
      </c>
    </row>
    <row r="271" spans="9:10" x14ac:dyDescent="0.3">
      <c r="I271" s="46" t="s">
        <v>835</v>
      </c>
      <c r="J271" t="s">
        <v>836</v>
      </c>
    </row>
    <row r="272" spans="9:10" x14ac:dyDescent="0.3">
      <c r="I272" s="46" t="s">
        <v>837</v>
      </c>
      <c r="J272" t="s">
        <v>838</v>
      </c>
    </row>
    <row r="273" spans="9:10" x14ac:dyDescent="0.3">
      <c r="I273" s="46" t="s">
        <v>839</v>
      </c>
      <c r="J273" t="s">
        <v>840</v>
      </c>
    </row>
    <row r="274" spans="9:10" x14ac:dyDescent="0.3">
      <c r="I274" s="46" t="s">
        <v>841</v>
      </c>
      <c r="J274" t="s">
        <v>842</v>
      </c>
    </row>
    <row r="275" spans="9:10" x14ac:dyDescent="0.3">
      <c r="I275" s="46" t="s">
        <v>843</v>
      </c>
      <c r="J275" t="s">
        <v>844</v>
      </c>
    </row>
    <row r="276" spans="9:10" x14ac:dyDescent="0.3">
      <c r="I276" s="46" t="s">
        <v>845</v>
      </c>
      <c r="J276" t="s">
        <v>846</v>
      </c>
    </row>
    <row r="277" spans="9:10" x14ac:dyDescent="0.3">
      <c r="I277" s="46" t="s">
        <v>847</v>
      </c>
      <c r="J277" t="s">
        <v>848</v>
      </c>
    </row>
    <row r="278" spans="9:10" x14ac:dyDescent="0.3">
      <c r="I278" s="46" t="s">
        <v>849</v>
      </c>
      <c r="J278" t="s">
        <v>850</v>
      </c>
    </row>
    <row r="279" spans="9:10" x14ac:dyDescent="0.3">
      <c r="I279" s="46" t="s">
        <v>851</v>
      </c>
      <c r="J279" t="s">
        <v>852</v>
      </c>
    </row>
    <row r="280" spans="9:10" x14ac:dyDescent="0.3">
      <c r="I280" s="46" t="s">
        <v>853</v>
      </c>
      <c r="J280" t="s">
        <v>854</v>
      </c>
    </row>
    <row r="281" spans="9:10" x14ac:dyDescent="0.3">
      <c r="I281" s="46" t="s">
        <v>855</v>
      </c>
      <c r="J281" t="s">
        <v>856</v>
      </c>
    </row>
    <row r="282" spans="9:10" x14ac:dyDescent="0.3">
      <c r="I282" s="46" t="s">
        <v>857</v>
      </c>
      <c r="J282" t="s">
        <v>858</v>
      </c>
    </row>
    <row r="283" spans="9:10" x14ac:dyDescent="0.3">
      <c r="I283" s="46" t="s">
        <v>859</v>
      </c>
      <c r="J283" t="s">
        <v>860</v>
      </c>
    </row>
    <row r="284" spans="9:10" x14ac:dyDescent="0.3">
      <c r="I284" s="46" t="s">
        <v>861</v>
      </c>
      <c r="J284" t="s">
        <v>862</v>
      </c>
    </row>
    <row r="285" spans="9:10" x14ac:dyDescent="0.3">
      <c r="I285" s="46" t="s">
        <v>863</v>
      </c>
      <c r="J285" t="s">
        <v>864</v>
      </c>
    </row>
    <row r="286" spans="9:10" x14ac:dyDescent="0.3">
      <c r="I286" s="46" t="s">
        <v>865</v>
      </c>
      <c r="J286" t="s">
        <v>866</v>
      </c>
    </row>
    <row r="287" spans="9:10" x14ac:dyDescent="0.3">
      <c r="I287" s="46" t="s">
        <v>867</v>
      </c>
      <c r="J287" t="s">
        <v>868</v>
      </c>
    </row>
    <row r="288" spans="9:10" x14ac:dyDescent="0.3">
      <c r="I288" s="46" t="s">
        <v>869</v>
      </c>
      <c r="J288" t="s">
        <v>870</v>
      </c>
    </row>
    <row r="289" spans="9:10" x14ac:dyDescent="0.3">
      <c r="I289" s="46" t="s">
        <v>871</v>
      </c>
      <c r="J289" t="s">
        <v>872</v>
      </c>
    </row>
    <row r="290" spans="9:10" x14ac:dyDescent="0.3">
      <c r="I290" s="46" t="s">
        <v>873</v>
      </c>
      <c r="J290" t="s">
        <v>874</v>
      </c>
    </row>
    <row r="291" spans="9:10" x14ac:dyDescent="0.3">
      <c r="I291" s="46" t="s">
        <v>875</v>
      </c>
      <c r="J291" t="s">
        <v>876</v>
      </c>
    </row>
    <row r="292" spans="9:10" x14ac:dyDescent="0.3">
      <c r="I292" s="46" t="s">
        <v>877</v>
      </c>
      <c r="J292" t="s">
        <v>878</v>
      </c>
    </row>
    <row r="293" spans="9:10" x14ac:dyDescent="0.3">
      <c r="I293" s="46" t="s">
        <v>879</v>
      </c>
      <c r="J293" t="s">
        <v>880</v>
      </c>
    </row>
    <row r="294" spans="9:10" x14ac:dyDescent="0.3">
      <c r="I294" s="46" t="s">
        <v>881</v>
      </c>
      <c r="J294" t="s">
        <v>882</v>
      </c>
    </row>
    <row r="295" spans="9:10" x14ac:dyDescent="0.3">
      <c r="I295" s="46" t="s">
        <v>883</v>
      </c>
      <c r="J295" t="s">
        <v>884</v>
      </c>
    </row>
    <row r="296" spans="9:10" x14ac:dyDescent="0.3">
      <c r="I296" s="46" t="s">
        <v>885</v>
      </c>
      <c r="J296" t="s">
        <v>886</v>
      </c>
    </row>
    <row r="297" spans="9:10" x14ac:dyDescent="0.3">
      <c r="I297" s="46" t="s">
        <v>887</v>
      </c>
      <c r="J297" t="s">
        <v>888</v>
      </c>
    </row>
    <row r="298" spans="9:10" x14ac:dyDescent="0.3">
      <c r="I298" s="46" t="s">
        <v>889</v>
      </c>
      <c r="J298" t="s">
        <v>890</v>
      </c>
    </row>
    <row r="299" spans="9:10" x14ac:dyDescent="0.3">
      <c r="I299" s="46" t="s">
        <v>891</v>
      </c>
      <c r="J299" t="s">
        <v>892</v>
      </c>
    </row>
    <row r="300" spans="9:10" x14ac:dyDescent="0.3">
      <c r="I300" s="46" t="s">
        <v>893</v>
      </c>
      <c r="J300" t="s">
        <v>894</v>
      </c>
    </row>
    <row r="301" spans="9:10" x14ac:dyDescent="0.3">
      <c r="I301" s="46" t="s">
        <v>895</v>
      </c>
      <c r="J301" t="s">
        <v>896</v>
      </c>
    </row>
    <row r="302" spans="9:10" x14ac:dyDescent="0.3">
      <c r="I302" s="46" t="s">
        <v>897</v>
      </c>
      <c r="J302" t="s">
        <v>898</v>
      </c>
    </row>
    <row r="303" spans="9:10" x14ac:dyDescent="0.3">
      <c r="I303" s="46" t="s">
        <v>899</v>
      </c>
      <c r="J303" t="s">
        <v>900</v>
      </c>
    </row>
    <row r="304" spans="9:10" x14ac:dyDescent="0.3">
      <c r="I304" s="46" t="s">
        <v>901</v>
      </c>
      <c r="J304" t="s">
        <v>902</v>
      </c>
    </row>
    <row r="305" spans="9:10" x14ac:dyDescent="0.3">
      <c r="I305" s="46" t="s">
        <v>903</v>
      </c>
      <c r="J305" t="s">
        <v>904</v>
      </c>
    </row>
    <row r="306" spans="9:10" x14ac:dyDescent="0.3">
      <c r="I306" s="46" t="s">
        <v>905</v>
      </c>
      <c r="J306" t="s">
        <v>906</v>
      </c>
    </row>
    <row r="307" spans="9:10" x14ac:dyDescent="0.3">
      <c r="I307" s="46" t="s">
        <v>907</v>
      </c>
      <c r="J307" t="s">
        <v>908</v>
      </c>
    </row>
    <row r="308" spans="9:10" x14ac:dyDescent="0.3">
      <c r="I308" s="46" t="s">
        <v>909</v>
      </c>
      <c r="J308" t="s">
        <v>910</v>
      </c>
    </row>
    <row r="309" spans="9:10" x14ac:dyDescent="0.3">
      <c r="I309" s="46" t="s">
        <v>911</v>
      </c>
      <c r="J309" t="s">
        <v>912</v>
      </c>
    </row>
    <row r="310" spans="9:10" x14ac:dyDescent="0.3">
      <c r="I310" s="46" t="s">
        <v>913</v>
      </c>
      <c r="J310" t="s">
        <v>914</v>
      </c>
    </row>
    <row r="311" spans="9:10" x14ac:dyDescent="0.3">
      <c r="I311" s="46" t="s">
        <v>915</v>
      </c>
      <c r="J311" t="s">
        <v>916</v>
      </c>
    </row>
    <row r="312" spans="9:10" x14ac:dyDescent="0.3">
      <c r="I312" s="46" t="s">
        <v>917</v>
      </c>
      <c r="J312" t="s">
        <v>918</v>
      </c>
    </row>
    <row r="313" spans="9:10" x14ac:dyDescent="0.3">
      <c r="I313" s="46" t="s">
        <v>919</v>
      </c>
      <c r="J313" t="s">
        <v>920</v>
      </c>
    </row>
    <row r="314" spans="9:10" x14ac:dyDescent="0.3">
      <c r="I314" s="46" t="s">
        <v>921</v>
      </c>
      <c r="J314" t="s">
        <v>922</v>
      </c>
    </row>
    <row r="315" spans="9:10" x14ac:dyDescent="0.3">
      <c r="I315" s="46" t="s">
        <v>923</v>
      </c>
      <c r="J315" t="s">
        <v>924</v>
      </c>
    </row>
    <row r="316" spans="9:10" x14ac:dyDescent="0.3">
      <c r="I316" s="46" t="s">
        <v>925</v>
      </c>
      <c r="J316" t="s">
        <v>926</v>
      </c>
    </row>
    <row r="317" spans="9:10" x14ac:dyDescent="0.3">
      <c r="I317" s="46" t="s">
        <v>927</v>
      </c>
      <c r="J317" t="s">
        <v>928</v>
      </c>
    </row>
    <row r="318" spans="9:10" x14ac:dyDescent="0.3">
      <c r="I318" s="46" t="s">
        <v>929</v>
      </c>
      <c r="J318" t="s">
        <v>930</v>
      </c>
    </row>
    <row r="319" spans="9:10" x14ac:dyDescent="0.3">
      <c r="I319" s="46" t="s">
        <v>931</v>
      </c>
      <c r="J319" t="s">
        <v>932</v>
      </c>
    </row>
    <row r="320" spans="9:10" x14ac:dyDescent="0.3">
      <c r="I320" s="46" t="s">
        <v>933</v>
      </c>
      <c r="J320" t="s">
        <v>934</v>
      </c>
    </row>
    <row r="321" spans="9:10" x14ac:dyDescent="0.3">
      <c r="I321" s="46" t="s">
        <v>935</v>
      </c>
      <c r="J321" t="s">
        <v>936</v>
      </c>
    </row>
    <row r="322" spans="9:10" x14ac:dyDescent="0.3">
      <c r="I322" s="46" t="s">
        <v>937</v>
      </c>
      <c r="J322" t="s">
        <v>938</v>
      </c>
    </row>
    <row r="323" spans="9:10" x14ac:dyDescent="0.3">
      <c r="I323" s="46" t="s">
        <v>939</v>
      </c>
      <c r="J323" t="s">
        <v>940</v>
      </c>
    </row>
    <row r="324" spans="9:10" x14ac:dyDescent="0.3">
      <c r="I324" s="46" t="s">
        <v>941</v>
      </c>
      <c r="J324" t="s">
        <v>942</v>
      </c>
    </row>
    <row r="325" spans="9:10" x14ac:dyDescent="0.3">
      <c r="I325" s="46" t="s">
        <v>943</v>
      </c>
      <c r="J325" t="s">
        <v>944</v>
      </c>
    </row>
    <row r="326" spans="9:10" x14ac:dyDescent="0.3">
      <c r="I326" s="46" t="s">
        <v>945</v>
      </c>
      <c r="J326" t="s">
        <v>946</v>
      </c>
    </row>
    <row r="327" spans="9:10" x14ac:dyDescent="0.3">
      <c r="I327" s="46" t="s">
        <v>947</v>
      </c>
      <c r="J327" t="s">
        <v>948</v>
      </c>
    </row>
    <row r="328" spans="9:10" x14ac:dyDescent="0.3">
      <c r="I328" s="46" t="s">
        <v>949</v>
      </c>
      <c r="J328" t="s">
        <v>950</v>
      </c>
    </row>
    <row r="329" spans="9:10" x14ac:dyDescent="0.3">
      <c r="I329" s="46" t="s">
        <v>951</v>
      </c>
      <c r="J329" t="s">
        <v>952</v>
      </c>
    </row>
    <row r="330" spans="9:10" x14ac:dyDescent="0.3">
      <c r="I330" s="46" t="s">
        <v>953</v>
      </c>
      <c r="J330" t="s">
        <v>954</v>
      </c>
    </row>
    <row r="331" spans="9:10" x14ac:dyDescent="0.3">
      <c r="I331" s="46" t="s">
        <v>955</v>
      </c>
      <c r="J331" t="s">
        <v>956</v>
      </c>
    </row>
    <row r="332" spans="9:10" x14ac:dyDescent="0.3">
      <c r="I332" s="46" t="s">
        <v>957</v>
      </c>
      <c r="J332" t="s">
        <v>958</v>
      </c>
    </row>
    <row r="333" spans="9:10" x14ac:dyDescent="0.3">
      <c r="I333" s="46" t="s">
        <v>959</v>
      </c>
      <c r="J333" t="s">
        <v>960</v>
      </c>
    </row>
    <row r="334" spans="9:10" x14ac:dyDescent="0.3">
      <c r="I334" s="46" t="s">
        <v>961</v>
      </c>
      <c r="J334" t="s">
        <v>962</v>
      </c>
    </row>
    <row r="335" spans="9:10" x14ac:dyDescent="0.3">
      <c r="I335" s="46" t="s">
        <v>963</v>
      </c>
      <c r="J335" t="s">
        <v>964</v>
      </c>
    </row>
    <row r="336" spans="9:10" x14ac:dyDescent="0.3">
      <c r="I336" s="46" t="s">
        <v>965</v>
      </c>
      <c r="J336" t="s">
        <v>966</v>
      </c>
    </row>
    <row r="337" spans="9:10" x14ac:dyDescent="0.3">
      <c r="I337" s="46" t="s">
        <v>967</v>
      </c>
      <c r="J337" t="s">
        <v>968</v>
      </c>
    </row>
    <row r="338" spans="9:10" x14ac:dyDescent="0.3">
      <c r="I338" s="46" t="s">
        <v>969</v>
      </c>
      <c r="J338" t="s">
        <v>970</v>
      </c>
    </row>
    <row r="339" spans="9:10" x14ac:dyDescent="0.3">
      <c r="I339" s="46" t="s">
        <v>971</v>
      </c>
      <c r="J339" t="s">
        <v>972</v>
      </c>
    </row>
    <row r="340" spans="9:10" x14ac:dyDescent="0.3">
      <c r="I340" s="46" t="s">
        <v>973</v>
      </c>
      <c r="J340" t="s">
        <v>974</v>
      </c>
    </row>
    <row r="341" spans="9:10" x14ac:dyDescent="0.3">
      <c r="I341" s="46" t="s">
        <v>975</v>
      </c>
      <c r="J341" t="s">
        <v>976</v>
      </c>
    </row>
    <row r="342" spans="9:10" x14ac:dyDescent="0.3">
      <c r="I342" s="46" t="s">
        <v>977</v>
      </c>
      <c r="J342" t="s">
        <v>978</v>
      </c>
    </row>
    <row r="343" spans="9:10" x14ac:dyDescent="0.3">
      <c r="I343" s="46" t="s">
        <v>979</v>
      </c>
      <c r="J343" t="s">
        <v>980</v>
      </c>
    </row>
    <row r="344" spans="9:10" x14ac:dyDescent="0.3">
      <c r="I344" s="46" t="s">
        <v>981</v>
      </c>
      <c r="J344" t="s">
        <v>982</v>
      </c>
    </row>
    <row r="345" spans="9:10" x14ac:dyDescent="0.3">
      <c r="I345" s="46" t="s">
        <v>983</v>
      </c>
      <c r="J345" t="s">
        <v>984</v>
      </c>
    </row>
    <row r="346" spans="9:10" x14ac:dyDescent="0.3">
      <c r="I346" s="46" t="s">
        <v>985</v>
      </c>
      <c r="J346" t="s">
        <v>986</v>
      </c>
    </row>
    <row r="347" spans="9:10" x14ac:dyDescent="0.3">
      <c r="I347" s="46" t="s">
        <v>987</v>
      </c>
      <c r="J347" t="s">
        <v>988</v>
      </c>
    </row>
    <row r="348" spans="9:10" x14ac:dyDescent="0.3">
      <c r="I348" s="46" t="s">
        <v>989</v>
      </c>
      <c r="J348" t="s">
        <v>990</v>
      </c>
    </row>
    <row r="349" spans="9:10" x14ac:dyDescent="0.3">
      <c r="I349" s="46" t="s">
        <v>991</v>
      </c>
      <c r="J349" t="s">
        <v>992</v>
      </c>
    </row>
    <row r="350" spans="9:10" x14ac:dyDescent="0.3">
      <c r="I350" s="46" t="s">
        <v>993</v>
      </c>
      <c r="J350" t="s">
        <v>994</v>
      </c>
    </row>
    <row r="351" spans="9:10" x14ac:dyDescent="0.3">
      <c r="I351" s="46" t="s">
        <v>995</v>
      </c>
      <c r="J351" t="s">
        <v>996</v>
      </c>
    </row>
    <row r="352" spans="9:10" x14ac:dyDescent="0.3">
      <c r="I352" s="46" t="s">
        <v>997</v>
      </c>
      <c r="J352" t="s">
        <v>998</v>
      </c>
    </row>
    <row r="353" spans="9:10" x14ac:dyDescent="0.3">
      <c r="I353" s="46" t="s">
        <v>999</v>
      </c>
      <c r="J353" t="s">
        <v>1000</v>
      </c>
    </row>
    <row r="354" spans="9:10" x14ac:dyDescent="0.3">
      <c r="I354" s="46" t="s">
        <v>1001</v>
      </c>
      <c r="J354" t="s">
        <v>1002</v>
      </c>
    </row>
    <row r="355" spans="9:10" x14ac:dyDescent="0.3">
      <c r="I355" s="46" t="s">
        <v>1003</v>
      </c>
      <c r="J355" t="s">
        <v>1004</v>
      </c>
    </row>
    <row r="356" spans="9:10" x14ac:dyDescent="0.3">
      <c r="I356" s="46" t="s">
        <v>1005</v>
      </c>
      <c r="J356" t="s">
        <v>1006</v>
      </c>
    </row>
    <row r="357" spans="9:10" x14ac:dyDescent="0.3">
      <c r="I357" s="46" t="s">
        <v>1007</v>
      </c>
      <c r="J357" t="s">
        <v>1008</v>
      </c>
    </row>
    <row r="358" spans="9:10" x14ac:dyDescent="0.3">
      <c r="I358" s="46" t="s">
        <v>1009</v>
      </c>
      <c r="J358" t="s">
        <v>1010</v>
      </c>
    </row>
    <row r="359" spans="9:10" x14ac:dyDescent="0.3">
      <c r="I359" s="46" t="s">
        <v>1011</v>
      </c>
      <c r="J359" t="s">
        <v>1012</v>
      </c>
    </row>
    <row r="360" spans="9:10" x14ac:dyDescent="0.3">
      <c r="I360" s="46" t="s">
        <v>1013</v>
      </c>
      <c r="J360" t="s">
        <v>1014</v>
      </c>
    </row>
    <row r="361" spans="9:10" x14ac:dyDescent="0.3">
      <c r="I361" s="46" t="s">
        <v>1015</v>
      </c>
      <c r="J361" t="s">
        <v>1016</v>
      </c>
    </row>
    <row r="362" spans="9:10" x14ac:dyDescent="0.3">
      <c r="I362" s="46" t="s">
        <v>1017</v>
      </c>
      <c r="J362" t="s">
        <v>1018</v>
      </c>
    </row>
    <row r="363" spans="9:10" x14ac:dyDescent="0.3">
      <c r="I363" s="46" t="s">
        <v>1019</v>
      </c>
      <c r="J363" t="s">
        <v>1020</v>
      </c>
    </row>
    <row r="364" spans="9:10" x14ac:dyDescent="0.3">
      <c r="I364" s="46" t="s">
        <v>1021</v>
      </c>
      <c r="J364" t="s">
        <v>1022</v>
      </c>
    </row>
    <row r="365" spans="9:10" x14ac:dyDescent="0.3">
      <c r="I365" s="46" t="s">
        <v>1023</v>
      </c>
      <c r="J365" t="s">
        <v>1024</v>
      </c>
    </row>
    <row r="366" spans="9:10" x14ac:dyDescent="0.3">
      <c r="I366" s="46" t="s">
        <v>1025</v>
      </c>
      <c r="J366" t="s">
        <v>1026</v>
      </c>
    </row>
    <row r="367" spans="9:10" x14ac:dyDescent="0.3">
      <c r="I367" s="46" t="s">
        <v>1027</v>
      </c>
      <c r="J367" t="s">
        <v>1028</v>
      </c>
    </row>
    <row r="368" spans="9:10" x14ac:dyDescent="0.3">
      <c r="I368" s="46" t="s">
        <v>1029</v>
      </c>
      <c r="J368" t="s">
        <v>1030</v>
      </c>
    </row>
    <row r="369" spans="9:10" x14ac:dyDescent="0.3">
      <c r="I369" s="46" t="s">
        <v>1031</v>
      </c>
      <c r="J369" t="s">
        <v>1032</v>
      </c>
    </row>
    <row r="370" spans="9:10" x14ac:dyDescent="0.3">
      <c r="I370" s="46" t="s">
        <v>1033</v>
      </c>
      <c r="J370" t="s">
        <v>1034</v>
      </c>
    </row>
    <row r="371" spans="9:10" x14ac:dyDescent="0.3">
      <c r="I371" s="46" t="s">
        <v>1035</v>
      </c>
      <c r="J371" t="s">
        <v>1036</v>
      </c>
    </row>
    <row r="372" spans="9:10" x14ac:dyDescent="0.3">
      <c r="I372" s="46" t="s">
        <v>1037</v>
      </c>
      <c r="J372" t="s">
        <v>1038</v>
      </c>
    </row>
    <row r="373" spans="9:10" x14ac:dyDescent="0.3">
      <c r="I373" s="46" t="s">
        <v>1039</v>
      </c>
      <c r="J373" t="s">
        <v>1040</v>
      </c>
    </row>
    <row r="374" spans="9:10" x14ac:dyDescent="0.3">
      <c r="I374" s="46" t="s">
        <v>1041</v>
      </c>
      <c r="J374" t="s">
        <v>1042</v>
      </c>
    </row>
    <row r="375" spans="9:10" x14ac:dyDescent="0.3">
      <c r="I375" s="46" t="s">
        <v>1043</v>
      </c>
      <c r="J375" t="s">
        <v>1044</v>
      </c>
    </row>
    <row r="376" spans="9:10" x14ac:dyDescent="0.3">
      <c r="I376" s="46" t="s">
        <v>1045</v>
      </c>
      <c r="J376" t="s">
        <v>1046</v>
      </c>
    </row>
    <row r="377" spans="9:10" x14ac:dyDescent="0.3">
      <c r="I377" s="46" t="s">
        <v>1047</v>
      </c>
      <c r="J377" t="s">
        <v>1048</v>
      </c>
    </row>
    <row r="378" spans="9:10" x14ac:dyDescent="0.3">
      <c r="I378" s="46" t="s">
        <v>1049</v>
      </c>
      <c r="J378" t="s">
        <v>1050</v>
      </c>
    </row>
    <row r="379" spans="9:10" x14ac:dyDescent="0.3">
      <c r="I379" s="46" t="s">
        <v>1051</v>
      </c>
      <c r="J379" t="s">
        <v>1052</v>
      </c>
    </row>
    <row r="380" spans="9:10" x14ac:dyDescent="0.3">
      <c r="I380" s="46" t="s">
        <v>1053</v>
      </c>
      <c r="J380" t="s">
        <v>1054</v>
      </c>
    </row>
    <row r="381" spans="9:10" x14ac:dyDescent="0.3">
      <c r="I381" s="46" t="s">
        <v>1055</v>
      </c>
      <c r="J381" t="s">
        <v>1056</v>
      </c>
    </row>
    <row r="382" spans="9:10" x14ac:dyDescent="0.3">
      <c r="I382" s="46" t="s">
        <v>1057</v>
      </c>
      <c r="J382" t="s">
        <v>1058</v>
      </c>
    </row>
    <row r="383" spans="9:10" x14ac:dyDescent="0.3">
      <c r="I383" s="46" t="s">
        <v>1059</v>
      </c>
      <c r="J383" t="s">
        <v>1060</v>
      </c>
    </row>
    <row r="384" spans="9:10" x14ac:dyDescent="0.3">
      <c r="I384" s="46" t="s">
        <v>1061</v>
      </c>
      <c r="J384" t="s">
        <v>1062</v>
      </c>
    </row>
    <row r="385" spans="9:10" x14ac:dyDescent="0.3">
      <c r="I385" s="46" t="s">
        <v>1063</v>
      </c>
      <c r="J385" t="s">
        <v>1064</v>
      </c>
    </row>
    <row r="386" spans="9:10" x14ac:dyDescent="0.3">
      <c r="I386" s="46" t="s">
        <v>1065</v>
      </c>
      <c r="J386" t="s">
        <v>1066</v>
      </c>
    </row>
    <row r="387" spans="9:10" x14ac:dyDescent="0.3">
      <c r="I387" s="46" t="s">
        <v>1067</v>
      </c>
      <c r="J387" t="s">
        <v>1068</v>
      </c>
    </row>
    <row r="388" spans="9:10" x14ac:dyDescent="0.3">
      <c r="I388" s="46" t="s">
        <v>1069</v>
      </c>
      <c r="J388" t="s">
        <v>1070</v>
      </c>
    </row>
    <row r="389" spans="9:10" x14ac:dyDescent="0.3">
      <c r="I389" s="46" t="s">
        <v>1071</v>
      </c>
      <c r="J389" t="s">
        <v>1072</v>
      </c>
    </row>
    <row r="390" spans="9:10" x14ac:dyDescent="0.3">
      <c r="I390" s="46" t="s">
        <v>1073</v>
      </c>
      <c r="J390" t="s">
        <v>1074</v>
      </c>
    </row>
    <row r="391" spans="9:10" x14ac:dyDescent="0.3">
      <c r="I391" s="46" t="s">
        <v>1075</v>
      </c>
      <c r="J391" t="s">
        <v>1076</v>
      </c>
    </row>
    <row r="392" spans="9:10" x14ac:dyDescent="0.3">
      <c r="I392" s="46" t="s">
        <v>1077</v>
      </c>
      <c r="J392" t="s">
        <v>1078</v>
      </c>
    </row>
    <row r="393" spans="9:10" x14ac:dyDescent="0.3">
      <c r="I393" s="46" t="s">
        <v>1079</v>
      </c>
      <c r="J393" t="s">
        <v>1080</v>
      </c>
    </row>
    <row r="394" spans="9:10" x14ac:dyDescent="0.3">
      <c r="I394" s="46" t="s">
        <v>1081</v>
      </c>
      <c r="J394" t="s">
        <v>1082</v>
      </c>
    </row>
    <row r="395" spans="9:10" x14ac:dyDescent="0.3">
      <c r="I395" s="46" t="s">
        <v>1083</v>
      </c>
      <c r="J395" t="s">
        <v>1084</v>
      </c>
    </row>
    <row r="396" spans="9:10" x14ac:dyDescent="0.3">
      <c r="I396" s="46" t="s">
        <v>1085</v>
      </c>
      <c r="J396" t="s">
        <v>1086</v>
      </c>
    </row>
    <row r="397" spans="9:10" x14ac:dyDescent="0.3">
      <c r="I397" s="46" t="s">
        <v>1087</v>
      </c>
      <c r="J397" t="s">
        <v>1088</v>
      </c>
    </row>
    <row r="398" spans="9:10" x14ac:dyDescent="0.3">
      <c r="I398" s="46" t="s">
        <v>1089</v>
      </c>
      <c r="J398" t="s">
        <v>1090</v>
      </c>
    </row>
    <row r="399" spans="9:10" x14ac:dyDescent="0.3">
      <c r="I399" s="46" t="s">
        <v>1091</v>
      </c>
      <c r="J399" t="s">
        <v>1092</v>
      </c>
    </row>
    <row r="400" spans="9:10" x14ac:dyDescent="0.3">
      <c r="I400" s="46" t="s">
        <v>1093</v>
      </c>
      <c r="J400" t="s">
        <v>1094</v>
      </c>
    </row>
    <row r="401" spans="9:10" x14ac:dyDescent="0.3">
      <c r="I401" s="46" t="s">
        <v>1095</v>
      </c>
      <c r="J401" t="s">
        <v>1096</v>
      </c>
    </row>
    <row r="402" spans="9:10" x14ac:dyDescent="0.3">
      <c r="I402" s="46" t="s">
        <v>1097</v>
      </c>
      <c r="J402" t="s">
        <v>1098</v>
      </c>
    </row>
    <row r="403" spans="9:10" x14ac:dyDescent="0.3">
      <c r="I403" s="46" t="s">
        <v>1099</v>
      </c>
      <c r="J403" t="s">
        <v>1100</v>
      </c>
    </row>
    <row r="404" spans="9:10" x14ac:dyDescent="0.3">
      <c r="I404" s="46" t="s">
        <v>1101</v>
      </c>
      <c r="J404" t="s">
        <v>1102</v>
      </c>
    </row>
    <row r="405" spans="9:10" x14ac:dyDescent="0.3">
      <c r="I405" s="46" t="s">
        <v>1103</v>
      </c>
      <c r="J405" t="s">
        <v>1104</v>
      </c>
    </row>
    <row r="406" spans="9:10" x14ac:dyDescent="0.3">
      <c r="I406" s="46" t="s">
        <v>1105</v>
      </c>
      <c r="J406" t="s">
        <v>1106</v>
      </c>
    </row>
    <row r="407" spans="9:10" x14ac:dyDescent="0.3">
      <c r="I407" s="46" t="s">
        <v>1107</v>
      </c>
      <c r="J407" t="s">
        <v>1108</v>
      </c>
    </row>
    <row r="408" spans="9:10" x14ac:dyDescent="0.3">
      <c r="I408" s="46" t="s">
        <v>1109</v>
      </c>
      <c r="J408" t="s">
        <v>1110</v>
      </c>
    </row>
    <row r="409" spans="9:10" x14ac:dyDescent="0.3">
      <c r="I409" s="46" t="s">
        <v>1111</v>
      </c>
      <c r="J409" t="s">
        <v>1112</v>
      </c>
    </row>
    <row r="410" spans="9:10" x14ac:dyDescent="0.3">
      <c r="I410" s="46" t="s">
        <v>1113</v>
      </c>
      <c r="J410" t="s">
        <v>1114</v>
      </c>
    </row>
    <row r="411" spans="9:10" x14ac:dyDescent="0.3">
      <c r="I411" s="46" t="s">
        <v>1115</v>
      </c>
      <c r="J411" t="s">
        <v>1116</v>
      </c>
    </row>
    <row r="412" spans="9:10" x14ac:dyDescent="0.3">
      <c r="I412" s="46" t="s">
        <v>1117</v>
      </c>
      <c r="J412" t="s">
        <v>1118</v>
      </c>
    </row>
    <row r="413" spans="9:10" x14ac:dyDescent="0.3">
      <c r="I413" s="46" t="s">
        <v>1119</v>
      </c>
      <c r="J413" t="s">
        <v>1120</v>
      </c>
    </row>
    <row r="414" spans="9:10" x14ac:dyDescent="0.3">
      <c r="I414" s="46" t="s">
        <v>1121</v>
      </c>
      <c r="J414" t="s">
        <v>1122</v>
      </c>
    </row>
    <row r="415" spans="9:10" x14ac:dyDescent="0.3">
      <c r="I415" s="46" t="s">
        <v>1123</v>
      </c>
      <c r="J415" t="s">
        <v>1124</v>
      </c>
    </row>
    <row r="416" spans="9:10" x14ac:dyDescent="0.3">
      <c r="I416" s="46" t="s">
        <v>1125</v>
      </c>
      <c r="J416" t="s">
        <v>1126</v>
      </c>
    </row>
    <row r="417" spans="9:10" x14ac:dyDescent="0.3">
      <c r="I417" s="46" t="s">
        <v>1127</v>
      </c>
      <c r="J417" t="s">
        <v>1128</v>
      </c>
    </row>
    <row r="418" spans="9:10" x14ac:dyDescent="0.3">
      <c r="I418" s="46" t="s">
        <v>1129</v>
      </c>
      <c r="J418" t="s">
        <v>1130</v>
      </c>
    </row>
    <row r="419" spans="9:10" x14ac:dyDescent="0.3">
      <c r="I419" s="46" t="s">
        <v>1131</v>
      </c>
      <c r="J419" t="s">
        <v>1132</v>
      </c>
    </row>
    <row r="420" spans="9:10" x14ac:dyDescent="0.3">
      <c r="I420" s="46" t="s">
        <v>1133</v>
      </c>
      <c r="J420" t="s">
        <v>1134</v>
      </c>
    </row>
    <row r="421" spans="9:10" x14ac:dyDescent="0.3">
      <c r="I421" s="46" t="s">
        <v>1135</v>
      </c>
      <c r="J421" t="s">
        <v>1136</v>
      </c>
    </row>
    <row r="422" spans="9:10" x14ac:dyDescent="0.3">
      <c r="I422" s="46" t="s">
        <v>1137</v>
      </c>
      <c r="J422" t="s">
        <v>1138</v>
      </c>
    </row>
    <row r="423" spans="9:10" x14ac:dyDescent="0.3">
      <c r="I423" s="46" t="s">
        <v>1139</v>
      </c>
      <c r="J423" t="s">
        <v>1140</v>
      </c>
    </row>
    <row r="424" spans="9:10" x14ac:dyDescent="0.3">
      <c r="I424" s="46" t="s">
        <v>1141</v>
      </c>
      <c r="J424" t="s">
        <v>1142</v>
      </c>
    </row>
    <row r="425" spans="9:10" x14ac:dyDescent="0.3">
      <c r="I425" s="46" t="s">
        <v>1143</v>
      </c>
      <c r="J425" t="s">
        <v>1144</v>
      </c>
    </row>
    <row r="426" spans="9:10" x14ac:dyDescent="0.3">
      <c r="I426" s="46" t="s">
        <v>1145</v>
      </c>
      <c r="J426" t="s">
        <v>1146</v>
      </c>
    </row>
    <row r="427" spans="9:10" x14ac:dyDescent="0.3">
      <c r="I427" s="46" t="s">
        <v>1147</v>
      </c>
      <c r="J427" t="s">
        <v>1148</v>
      </c>
    </row>
    <row r="428" spans="9:10" x14ac:dyDescent="0.3">
      <c r="I428" s="46" t="s">
        <v>1149</v>
      </c>
      <c r="J428" t="s">
        <v>1150</v>
      </c>
    </row>
    <row r="429" spans="9:10" x14ac:dyDescent="0.3">
      <c r="I429" s="46" t="s">
        <v>1151</v>
      </c>
      <c r="J429" t="s">
        <v>1152</v>
      </c>
    </row>
    <row r="430" spans="9:10" x14ac:dyDescent="0.3">
      <c r="I430" s="46" t="s">
        <v>1153</v>
      </c>
      <c r="J430" t="s">
        <v>1154</v>
      </c>
    </row>
    <row r="431" spans="9:10" x14ac:dyDescent="0.3">
      <c r="I431" s="46" t="s">
        <v>1155</v>
      </c>
      <c r="J431" t="s">
        <v>1156</v>
      </c>
    </row>
    <row r="432" spans="9:10" x14ac:dyDescent="0.3">
      <c r="I432" s="46" t="s">
        <v>1157</v>
      </c>
      <c r="J432" t="s">
        <v>1158</v>
      </c>
    </row>
    <row r="433" spans="9:10" x14ac:dyDescent="0.3">
      <c r="I433" s="46" t="s">
        <v>1159</v>
      </c>
      <c r="J433" t="s">
        <v>1160</v>
      </c>
    </row>
    <row r="434" spans="9:10" x14ac:dyDescent="0.3">
      <c r="I434" s="46" t="s">
        <v>1161</v>
      </c>
      <c r="J434" t="s">
        <v>1162</v>
      </c>
    </row>
    <row r="435" spans="9:10" x14ac:dyDescent="0.3">
      <c r="I435" s="46" t="s">
        <v>1163</v>
      </c>
      <c r="J435" t="s">
        <v>1164</v>
      </c>
    </row>
    <row r="436" spans="9:10" x14ac:dyDescent="0.3">
      <c r="I436" s="46" t="s">
        <v>1165</v>
      </c>
      <c r="J436" t="s">
        <v>1166</v>
      </c>
    </row>
    <row r="437" spans="9:10" x14ac:dyDescent="0.3">
      <c r="I437" s="46" t="s">
        <v>1167</v>
      </c>
      <c r="J437" t="s">
        <v>1168</v>
      </c>
    </row>
    <row r="438" spans="9:10" x14ac:dyDescent="0.3">
      <c r="I438" s="46" t="s">
        <v>1169</v>
      </c>
      <c r="J438" t="s">
        <v>1170</v>
      </c>
    </row>
    <row r="439" spans="9:10" x14ac:dyDescent="0.3">
      <c r="I439" s="46" t="s">
        <v>1171</v>
      </c>
      <c r="J439" t="s">
        <v>1172</v>
      </c>
    </row>
    <row r="440" spans="9:10" x14ac:dyDescent="0.3">
      <c r="I440" s="46" t="s">
        <v>1173</v>
      </c>
      <c r="J440" t="s">
        <v>1174</v>
      </c>
    </row>
    <row r="441" spans="9:10" x14ac:dyDescent="0.3">
      <c r="I441" s="46" t="s">
        <v>1175</v>
      </c>
      <c r="J441" t="s">
        <v>1176</v>
      </c>
    </row>
    <row r="442" spans="9:10" x14ac:dyDescent="0.3">
      <c r="I442" s="46" t="s">
        <v>1177</v>
      </c>
      <c r="J442" t="s">
        <v>1178</v>
      </c>
    </row>
    <row r="443" spans="9:10" x14ac:dyDescent="0.3">
      <c r="I443" s="46" t="s">
        <v>1179</v>
      </c>
      <c r="J443" t="s">
        <v>1180</v>
      </c>
    </row>
    <row r="444" spans="9:10" x14ac:dyDescent="0.3">
      <c r="I444" s="46" t="s">
        <v>1181</v>
      </c>
      <c r="J444" t="s">
        <v>1182</v>
      </c>
    </row>
    <row r="445" spans="9:10" x14ac:dyDescent="0.3">
      <c r="I445" s="46" t="s">
        <v>1183</v>
      </c>
      <c r="J445" t="s">
        <v>1184</v>
      </c>
    </row>
    <row r="446" spans="9:10" x14ac:dyDescent="0.3">
      <c r="I446" s="46" t="s">
        <v>1185</v>
      </c>
      <c r="J446" t="s">
        <v>1186</v>
      </c>
    </row>
    <row r="447" spans="9:10" x14ac:dyDescent="0.3">
      <c r="I447" s="46" t="s">
        <v>1187</v>
      </c>
      <c r="J447" t="s">
        <v>1188</v>
      </c>
    </row>
    <row r="448" spans="9:10" x14ac:dyDescent="0.3">
      <c r="I448" s="46" t="s">
        <v>1189</v>
      </c>
      <c r="J448" t="s">
        <v>1190</v>
      </c>
    </row>
    <row r="449" spans="9:10" x14ac:dyDescent="0.3">
      <c r="I449" s="46" t="s">
        <v>1191</v>
      </c>
      <c r="J449" t="s">
        <v>1192</v>
      </c>
    </row>
    <row r="450" spans="9:10" x14ac:dyDescent="0.3">
      <c r="I450" s="46" t="s">
        <v>1193</v>
      </c>
      <c r="J450" t="s">
        <v>1194</v>
      </c>
    </row>
    <row r="451" spans="9:10" x14ac:dyDescent="0.3">
      <c r="I451" s="46" t="s">
        <v>1195</v>
      </c>
      <c r="J451" t="s">
        <v>1196</v>
      </c>
    </row>
    <row r="452" spans="9:10" x14ac:dyDescent="0.3">
      <c r="I452" s="46" t="s">
        <v>1197</v>
      </c>
      <c r="J452" t="s">
        <v>1198</v>
      </c>
    </row>
    <row r="453" spans="9:10" x14ac:dyDescent="0.3">
      <c r="I453" s="46" t="s">
        <v>1199</v>
      </c>
      <c r="J453" t="s">
        <v>1200</v>
      </c>
    </row>
    <row r="454" spans="9:10" x14ac:dyDescent="0.3">
      <c r="I454" s="46" t="s">
        <v>1201</v>
      </c>
      <c r="J454" t="s">
        <v>1202</v>
      </c>
    </row>
    <row r="455" spans="9:10" x14ac:dyDescent="0.3">
      <c r="I455" s="46" t="s">
        <v>1203</v>
      </c>
      <c r="J455" t="s">
        <v>1204</v>
      </c>
    </row>
    <row r="456" spans="9:10" x14ac:dyDescent="0.3">
      <c r="I456" s="46" t="s">
        <v>1205</v>
      </c>
      <c r="J456" t="s">
        <v>1206</v>
      </c>
    </row>
    <row r="457" spans="9:10" x14ac:dyDescent="0.3">
      <c r="I457" s="46" t="s">
        <v>1207</v>
      </c>
      <c r="J457" t="s">
        <v>1208</v>
      </c>
    </row>
    <row r="458" spans="9:10" x14ac:dyDescent="0.3">
      <c r="I458" s="46" t="s">
        <v>1209</v>
      </c>
      <c r="J458" t="s">
        <v>1210</v>
      </c>
    </row>
    <row r="459" spans="9:10" x14ac:dyDescent="0.3">
      <c r="I459" s="46" t="s">
        <v>1211</v>
      </c>
      <c r="J459" t="s">
        <v>1212</v>
      </c>
    </row>
    <row r="460" spans="9:10" x14ac:dyDescent="0.3">
      <c r="I460" s="46" t="s">
        <v>1213</v>
      </c>
      <c r="J460" t="s">
        <v>1214</v>
      </c>
    </row>
    <row r="461" spans="9:10" x14ac:dyDescent="0.3">
      <c r="I461" s="46" t="s">
        <v>1215</v>
      </c>
      <c r="J461" t="s">
        <v>1216</v>
      </c>
    </row>
    <row r="462" spans="9:10" x14ac:dyDescent="0.3">
      <c r="I462" s="46" t="s">
        <v>1217</v>
      </c>
      <c r="J462" t="s">
        <v>1218</v>
      </c>
    </row>
    <row r="463" spans="9:10" x14ac:dyDescent="0.3">
      <c r="I463" s="46" t="s">
        <v>1219</v>
      </c>
      <c r="J463" t="s">
        <v>1220</v>
      </c>
    </row>
    <row r="464" spans="9:10" x14ac:dyDescent="0.3">
      <c r="I464" s="46" t="s">
        <v>1221</v>
      </c>
      <c r="J464" t="s">
        <v>1222</v>
      </c>
    </row>
    <row r="465" spans="9:10" x14ac:dyDescent="0.3">
      <c r="I465" s="46" t="s">
        <v>1223</v>
      </c>
      <c r="J465" t="s">
        <v>1224</v>
      </c>
    </row>
    <row r="466" spans="9:10" x14ac:dyDescent="0.3">
      <c r="I466" s="46" t="s">
        <v>1225</v>
      </c>
      <c r="J466" t="s">
        <v>1226</v>
      </c>
    </row>
    <row r="467" spans="9:10" x14ac:dyDescent="0.3">
      <c r="I467" s="46" t="s">
        <v>1227</v>
      </c>
      <c r="J467" t="s">
        <v>1228</v>
      </c>
    </row>
    <row r="468" spans="9:10" x14ac:dyDescent="0.3">
      <c r="I468" s="46" t="s">
        <v>1229</v>
      </c>
      <c r="J468" t="s">
        <v>1230</v>
      </c>
    </row>
    <row r="469" spans="9:10" x14ac:dyDescent="0.3">
      <c r="I469" s="46" t="s">
        <v>1231</v>
      </c>
      <c r="J469" t="s">
        <v>1232</v>
      </c>
    </row>
    <row r="470" spans="9:10" x14ac:dyDescent="0.3">
      <c r="I470" s="46" t="s">
        <v>1233</v>
      </c>
      <c r="J470" t="s">
        <v>1234</v>
      </c>
    </row>
    <row r="471" spans="9:10" x14ac:dyDescent="0.3">
      <c r="I471" s="46" t="s">
        <v>1235</v>
      </c>
      <c r="J471" t="s">
        <v>1236</v>
      </c>
    </row>
    <row r="472" spans="9:10" x14ac:dyDescent="0.3">
      <c r="I472" s="46" t="s">
        <v>1237</v>
      </c>
      <c r="J472" t="s">
        <v>1238</v>
      </c>
    </row>
    <row r="473" spans="9:10" x14ac:dyDescent="0.3">
      <c r="I473" s="46" t="s">
        <v>1239</v>
      </c>
      <c r="J473" t="s">
        <v>1240</v>
      </c>
    </row>
    <row r="474" spans="9:10" x14ac:dyDescent="0.3">
      <c r="I474" s="46" t="s">
        <v>1241</v>
      </c>
      <c r="J474" t="s">
        <v>1242</v>
      </c>
    </row>
    <row r="475" spans="9:10" x14ac:dyDescent="0.3">
      <c r="I475" s="46" t="s">
        <v>1243</v>
      </c>
      <c r="J475" t="s">
        <v>1244</v>
      </c>
    </row>
    <row r="476" spans="9:10" x14ac:dyDescent="0.3">
      <c r="I476" s="46" t="s">
        <v>1245</v>
      </c>
      <c r="J476" t="s">
        <v>1246</v>
      </c>
    </row>
    <row r="477" spans="9:10" x14ac:dyDescent="0.3">
      <c r="I477" s="46" t="s">
        <v>1247</v>
      </c>
      <c r="J477" t="s">
        <v>1248</v>
      </c>
    </row>
    <row r="478" spans="9:10" x14ac:dyDescent="0.3">
      <c r="I478" s="46" t="s">
        <v>1249</v>
      </c>
      <c r="J478" t="s">
        <v>1250</v>
      </c>
    </row>
    <row r="479" spans="9:10" x14ac:dyDescent="0.3">
      <c r="I479" s="46" t="s">
        <v>1251</v>
      </c>
      <c r="J479" t="s">
        <v>1252</v>
      </c>
    </row>
    <row r="480" spans="9:10" x14ac:dyDescent="0.3">
      <c r="I480" s="46" t="s">
        <v>1253</v>
      </c>
      <c r="J480" t="s">
        <v>1254</v>
      </c>
    </row>
    <row r="481" spans="9:10" x14ac:dyDescent="0.3">
      <c r="I481" s="46" t="s">
        <v>1255</v>
      </c>
      <c r="J481" t="s">
        <v>1256</v>
      </c>
    </row>
    <row r="482" spans="9:10" x14ac:dyDescent="0.3">
      <c r="I482" s="46" t="s">
        <v>1257</v>
      </c>
      <c r="J482" t="s">
        <v>1258</v>
      </c>
    </row>
    <row r="483" spans="9:10" x14ac:dyDescent="0.3">
      <c r="I483" s="46" t="s">
        <v>1259</v>
      </c>
      <c r="J483" t="s">
        <v>1260</v>
      </c>
    </row>
    <row r="484" spans="9:10" x14ac:dyDescent="0.3">
      <c r="I484" s="46" t="s">
        <v>1261</v>
      </c>
      <c r="J484" t="s">
        <v>1262</v>
      </c>
    </row>
    <row r="485" spans="9:10" x14ac:dyDescent="0.3">
      <c r="I485" s="46" t="s">
        <v>1263</v>
      </c>
      <c r="J485" t="s">
        <v>1264</v>
      </c>
    </row>
    <row r="486" spans="9:10" x14ac:dyDescent="0.3">
      <c r="I486" s="46" t="s">
        <v>1265</v>
      </c>
      <c r="J486" t="s">
        <v>1266</v>
      </c>
    </row>
    <row r="487" spans="9:10" x14ac:dyDescent="0.3">
      <c r="I487" s="46" t="s">
        <v>1267</v>
      </c>
      <c r="J487" t="s">
        <v>1268</v>
      </c>
    </row>
    <row r="488" spans="9:10" x14ac:dyDescent="0.3">
      <c r="I488" s="46" t="s">
        <v>1269</v>
      </c>
      <c r="J488" t="s">
        <v>1270</v>
      </c>
    </row>
    <row r="489" spans="9:10" x14ac:dyDescent="0.3">
      <c r="I489" s="46" t="s">
        <v>1271</v>
      </c>
      <c r="J489" t="s">
        <v>1272</v>
      </c>
    </row>
    <row r="490" spans="9:10" x14ac:dyDescent="0.3">
      <c r="I490" s="46" t="s">
        <v>1273</v>
      </c>
      <c r="J490" t="s">
        <v>1274</v>
      </c>
    </row>
    <row r="491" spans="9:10" x14ac:dyDescent="0.3">
      <c r="I491" s="46" t="s">
        <v>1275</v>
      </c>
      <c r="J491" t="s">
        <v>1276</v>
      </c>
    </row>
    <row r="492" spans="9:10" x14ac:dyDescent="0.3">
      <c r="I492" s="46" t="s">
        <v>1277</v>
      </c>
      <c r="J492" t="s">
        <v>1278</v>
      </c>
    </row>
    <row r="493" spans="9:10" x14ac:dyDescent="0.3">
      <c r="I493" s="46" t="s">
        <v>1279</v>
      </c>
      <c r="J493" t="s">
        <v>1280</v>
      </c>
    </row>
    <row r="494" spans="9:10" x14ac:dyDescent="0.3">
      <c r="I494" s="46" t="s">
        <v>1281</v>
      </c>
      <c r="J494" t="s">
        <v>1282</v>
      </c>
    </row>
    <row r="495" spans="9:10" x14ac:dyDescent="0.3">
      <c r="I495" s="46" t="s">
        <v>1283</v>
      </c>
      <c r="J495" t="s">
        <v>1282</v>
      </c>
    </row>
  </sheetData>
  <sheetProtection algorithmName="SHA-512" hashValue="diIkhR3BL2sv111ZNd+4a+JxEZzHwB7CQjhnwtgFstE5lnPOAt0hcxjuJIHs6AYHJ6SIQzxueRowp418Fu2wbA==" saltValue="fwKhvBe7VceWTLgVIu/JAA==" spinCount="100000" sheet="1" formatCells="0" formatColumns="0" formatRows="0" insertColumns="0" insertRows="0" insertHyperlinks="0" deleteColumns="0" deleteRows="0" sort="0" autoFilter="0" pivotTables="0"/>
  <customSheetViews>
    <customSheetView guid="{81F0E444-1FDF-4C2C-B330-A1D7F689AA54}">
      <selection activeCell="C21" sqref="C21"/>
      <pageMargins left="0.7" right="0.7" top="0.75" bottom="0.75" header="0.3" footer="0.3"/>
      <pageSetup orientation="portrait" r:id="rId1"/>
    </customSheetView>
  </customSheetViews>
  <hyperlinks>
    <hyperlink ref="S4" location="PLANTILLAS!A10" display="PLANTILLAS!A10" xr:uid="{0E448C92-226A-41E3-B685-2CC8094E9539}"/>
    <hyperlink ref="S5" location="PLANTILLAS!A55" display="PLANTILLAS!A55" xr:uid="{D669CB1B-D5D6-4FB2-B61B-798F11A8BC3A}"/>
    <hyperlink ref="S6" location="PLANTILLAS!A91" display="PLANTILLAS!A72" xr:uid="{87AA06E5-878D-4589-95A2-94D5FAAFD4DE}"/>
    <hyperlink ref="S7" location="PLANTILLAS!A120" display="PLANTILLAS!A120" xr:uid="{0FB29559-D84B-4777-96FB-A876AB0544D4}"/>
    <hyperlink ref="S8" location="PLANTILLAS!A150" display="PLANTILLAS!A150" xr:uid="{FE7E98FB-9599-4CDE-9310-0A3627AD2B61}"/>
  </hyperlinks>
  <pageMargins left="0.7" right="0.7" top="0.75" bottom="0.75" header="0.3" footer="0.3"/>
  <pageSetup orientation="portrait" r:id="rId2"/>
  <headerFooter>
    <oddHeader>&amp;L&amp;"Calibri"&amp;10&amp;K000000 Información de carácter Confidencial&amp;1#_x000D_</oddHeader>
  </headerFooter>
  <ignoredErrors>
    <ignoredError sqref="I4:I495 I2" numberStoredAsText="1"/>
  </ignoredError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IconOverlay xmlns="http://schemas.microsoft.com/sharepoint/v4" xsi:nil="true"/>
    <lcf76f155ced4ddcb4097134ff3c332f xmlns="275d6eaf-a1bb-4eeb-922d-259b696f6906">
      <Terms xmlns="http://schemas.microsoft.com/office/infopath/2007/PartnerControls"/>
    </lcf76f155ced4ddcb4097134ff3c332f>
    <TaxCatchAll xmlns="c71f561d-fb31-4c82-9afe-e97f7dc54f6d"/>
  </documentManagement>
</p:properties>
</file>

<file path=customXml/item3.xml><?xml version="1.0" encoding="utf-8"?>
<ct:contentTypeSchema xmlns:ct="http://schemas.microsoft.com/office/2006/metadata/contentType" xmlns:ma="http://schemas.microsoft.com/office/2006/metadata/properties/metaAttributes" ct:_="" ma:_="" ma:contentTypeName="Documento" ma:contentTypeID="0x0101004EE59B06865AB045BF916CD06500C845" ma:contentTypeVersion="19" ma:contentTypeDescription="Crear nuevo documento." ma:contentTypeScope="" ma:versionID="f4ee23c00a921909f8d1b9a00d97ce10">
  <xsd:schema xmlns:xsd="http://www.w3.org/2001/XMLSchema" xmlns:xs="http://www.w3.org/2001/XMLSchema" xmlns:p="http://schemas.microsoft.com/office/2006/metadata/properties" xmlns:ns2="c71f561d-fb31-4c82-9afe-e97f7dc54f6d" xmlns:ns3="275d6eaf-a1bb-4eeb-922d-259b696f6906" xmlns:ns4="4e3adaf9-9db0-4bef-844d-e0f158e58286" xmlns:ns5="http://schemas.microsoft.com/sharepoint/v4" targetNamespace="http://schemas.microsoft.com/office/2006/metadata/properties" ma:root="true" ma:fieldsID="88d1867df9bc9ce47eaea15639edc187" ns2:_="" ns3:_="" ns4:_="" ns5:_="">
    <xsd:import namespace="c71f561d-fb31-4c82-9afe-e97f7dc54f6d"/>
    <xsd:import namespace="275d6eaf-a1bb-4eeb-922d-259b696f6906"/>
    <xsd:import namespace="4e3adaf9-9db0-4bef-844d-e0f158e58286"/>
    <xsd:import namespace="http://schemas.microsoft.com/sharepoint/v4"/>
    <xsd:element name="properties">
      <xsd:complexType>
        <xsd:sequence>
          <xsd:element name="documentManagement">
            <xsd:complexType>
              <xsd:all>
                <xsd:element ref="ns2:_dlc_DocId" minOccurs="0"/>
                <xsd:element ref="ns2:_dlc_DocIdUrl" minOccurs="0"/>
                <xsd:element ref="ns2:_dlc_DocIdPersistId" minOccurs="0"/>
                <xsd:element ref="ns3:MediaServiceMetadata" minOccurs="0"/>
                <xsd:element ref="ns3:MediaServiceFastMetadata" minOccurs="0"/>
                <xsd:element ref="ns3:MediaServiceAutoTags" minOccurs="0"/>
                <xsd:element ref="ns3:MediaServiceOCR" minOccurs="0"/>
                <xsd:element ref="ns3:MediaServiceDateTaken" minOccurs="0"/>
                <xsd:element ref="ns4:SharedWithUsers" minOccurs="0"/>
                <xsd:element ref="ns4:SharedWithDetails" minOccurs="0"/>
                <xsd:element ref="ns3:MediaServiceEventHashCode" minOccurs="0"/>
                <xsd:element ref="ns3:MediaServiceGenerationTime" minOccurs="0"/>
                <xsd:element ref="ns3:MediaServiceAutoKeyPoints" minOccurs="0"/>
                <xsd:element ref="ns3:MediaServiceKeyPoints" minOccurs="0"/>
                <xsd:element ref="ns3:MediaServiceLocation" minOccurs="0"/>
                <xsd:element ref="ns3:MediaLengthInSeconds" minOccurs="0"/>
                <xsd:element ref="ns5:IconOverlay" minOccurs="0"/>
                <xsd:element ref="ns3:lcf76f155ced4ddcb4097134ff3c332f" minOccurs="0"/>
                <xsd:element ref="ns2:TaxCatchAll" minOccurs="0"/>
                <xsd:element ref="ns3: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71f561d-fb31-4c82-9afe-e97f7dc54f6d" elementFormDefault="qualified">
    <xsd:import namespace="http://schemas.microsoft.com/office/2006/documentManagement/types"/>
    <xsd:import namespace="http://schemas.microsoft.com/office/infopath/2007/PartnerControls"/>
    <xsd:element name="_dlc_DocId" ma:index="8" nillable="true" ma:displayName="Valor de Id. de documento" ma:description="El valor del identificador de documento asignado a este elemento." ma:internalName="_dlc_DocId" ma:readOnly="true">
      <xsd:simpleType>
        <xsd:restriction base="dms:Text"/>
      </xsd:simpleType>
    </xsd:element>
    <xsd:element name="_dlc_DocIdUrl" ma:index="9" nillable="true" ma:displayName="Id. de documento" ma:description="Vínculo permanente a este documento."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10" nillable="true" ma:displayName="Persist ID" ma:description="Keep ID on add." ma:hidden="true" ma:internalName="_dlc_DocIdPersistId" ma:readOnly="true">
      <xsd:simpleType>
        <xsd:restriction base="dms:Boolean"/>
      </xsd:simpleType>
    </xsd:element>
    <xsd:element name="TaxCatchAll" ma:index="27" nillable="true" ma:displayName="Taxonomy Catch All Column" ma:hidden="true" ma:list="{13545072-338a-415c-b4e4-147e787f7a9c}" ma:internalName="TaxCatchAll" ma:showField="CatchAllData" ma:web="c71f561d-fb31-4c82-9afe-e97f7dc54f6d">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275d6eaf-a1bb-4eeb-922d-259b696f6906" elementFormDefault="qualified">
    <xsd:import namespace="http://schemas.microsoft.com/office/2006/documentManagement/types"/>
    <xsd:import namespace="http://schemas.microsoft.com/office/infopath/2007/PartnerControls"/>
    <xsd:element name="MediaServiceMetadata" ma:index="11" nillable="true" ma:displayName="MediaServiceMetadata" ma:hidden="true" ma:internalName="MediaServiceMetadata" ma:readOnly="true">
      <xsd:simpleType>
        <xsd:restriction base="dms:Note"/>
      </xsd:simpleType>
    </xsd:element>
    <xsd:element name="MediaServiceFastMetadata" ma:index="12" nillable="true" ma:displayName="MediaServiceFastMetadata" ma:hidden="true" ma:internalName="MediaServiceFastMetadata" ma:readOnly="true">
      <xsd:simpleType>
        <xsd:restriction base="dms:Note"/>
      </xsd:simpleType>
    </xsd:element>
    <xsd:element name="MediaServiceAutoTags" ma:index="13" nillable="true" ma:displayName="MediaServiceAutoTags" ma:internalName="MediaServiceAutoTags" ma:readOnly="true">
      <xsd:simpleType>
        <xsd:restriction base="dms:Text"/>
      </xsd:simpleType>
    </xsd:element>
    <xsd:element name="MediaServiceOCR" ma:index="14" nillable="true" ma:displayName="MediaServiceOCR" ma:internalName="MediaServiceOCR" ma:readOnly="true">
      <xsd:simpleType>
        <xsd:restriction base="dms:Note">
          <xsd:maxLength value="255"/>
        </xsd:restriction>
      </xsd:simpleType>
    </xsd:element>
    <xsd:element name="MediaServiceDateTaken" ma:index="15" nillable="true" ma:displayName="MediaServiceDateTaken" ma:hidden="true" ma:internalName="MediaServiceDateTaken"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AutoKeyPoints" ma:index="20" nillable="true" ma:displayName="MediaServiceAutoKeyPoints" ma:hidden="true" ma:internalName="MediaServiceAutoKeyPoints" ma:readOnly="true">
      <xsd:simpleType>
        <xsd:restriction base="dms:Note"/>
      </xsd:simpleType>
    </xsd:element>
    <xsd:element name="MediaServiceKeyPoints" ma:index="21" nillable="true" ma:displayName="KeyPoints" ma:internalName="MediaServiceKeyPoints" ma:readOnly="true">
      <xsd:simpleType>
        <xsd:restriction base="dms:Note">
          <xsd:maxLength value="255"/>
        </xsd:restriction>
      </xsd:simpleType>
    </xsd:element>
    <xsd:element name="MediaServiceLocation" ma:index="22" nillable="true" ma:displayName="Location" ma:internalName="MediaServiceLocation" ma:readOnly="true">
      <xsd:simpleType>
        <xsd:restriction base="dms:Text"/>
      </xsd:simpleType>
    </xsd:element>
    <xsd:element name="MediaLengthInSeconds" ma:index="23" nillable="true" ma:displayName="Length (seconds)" ma:internalName="MediaLengthInSeconds" ma:readOnly="true">
      <xsd:simpleType>
        <xsd:restriction base="dms:Unknown"/>
      </xsd:simpleType>
    </xsd:element>
    <xsd:element name="lcf76f155ced4ddcb4097134ff3c332f" ma:index="26" nillable="true" ma:taxonomy="true" ma:internalName="lcf76f155ced4ddcb4097134ff3c332f" ma:taxonomyFieldName="MediaServiceImageTags" ma:displayName="Etiquetas de imagen" ma:readOnly="false" ma:fieldId="{5cf76f15-5ced-4ddc-b409-7134ff3c332f}" ma:taxonomyMulti="true" ma:sspId="eef4d256-b722-4c3d-bf1b-df79d8457cbb"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8" nillable="true" ma:displayName="MediaServiceObjectDetectorVersions" ma:description=""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e3adaf9-9db0-4bef-844d-e0f158e58286" elementFormDefault="qualified">
    <xsd:import namespace="http://schemas.microsoft.com/office/2006/documentManagement/types"/>
    <xsd:import namespace="http://schemas.microsoft.com/office/infopath/2007/PartnerControls"/>
    <xsd:element name="SharedWithUsers" ma:index="16" nillable="true" ma:displayName="Compartido c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Detalles de uso compartido"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4" elementFormDefault="qualified">
    <xsd:import namespace="http://schemas.microsoft.com/office/2006/documentManagement/types"/>
    <xsd:import namespace="http://schemas.microsoft.com/office/infopath/2007/PartnerControls"/>
    <xsd:element name="IconOverlay" ma:index="24" nillable="true" ma:displayName="IconOverlay" ma:hidden="true" ma:internalName="IconOverlay">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Version=16.0.0.0,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Version=16.0.0.0, Culture=neutral, PublicKeyToken=71e9bce111e9429c</Assembly>
    <Class>Microsoft.Office.DocumentManagement.Internal.DocIdHandler</Class>
    <Data/>
    <Filter/>
  </Receiver>
</spe:Receivers>
</file>

<file path=customXml/itemProps1.xml><?xml version="1.0" encoding="utf-8"?>
<ds:datastoreItem xmlns:ds="http://schemas.openxmlformats.org/officeDocument/2006/customXml" ds:itemID="{892661CC-B3A3-420C-95F7-8E1B789062D8}">
  <ds:schemaRefs>
    <ds:schemaRef ds:uri="http://schemas.microsoft.com/sharepoint/v3/contenttype/forms"/>
  </ds:schemaRefs>
</ds:datastoreItem>
</file>

<file path=customXml/itemProps2.xml><?xml version="1.0" encoding="utf-8"?>
<ds:datastoreItem xmlns:ds="http://schemas.openxmlformats.org/officeDocument/2006/customXml" ds:itemID="{AC12EF2E-69ED-4CD5-B497-6F060279848E}">
  <ds:schemaRefs>
    <ds:schemaRef ds:uri="http://schemas.microsoft.com/office/infopath/2007/PartnerControls"/>
    <ds:schemaRef ds:uri="http://purl.org/dc/terms/"/>
    <ds:schemaRef ds:uri="4e3adaf9-9db0-4bef-844d-e0f158e58286"/>
    <ds:schemaRef ds:uri="http://schemas.openxmlformats.org/package/2006/metadata/core-properties"/>
    <ds:schemaRef ds:uri="http://schemas.microsoft.com/sharepoint/v4"/>
    <ds:schemaRef ds:uri="c71f561d-fb31-4c82-9afe-e97f7dc54f6d"/>
    <ds:schemaRef ds:uri="275d6eaf-a1bb-4eeb-922d-259b696f6906"/>
    <ds:schemaRef ds:uri="http://schemas.microsoft.com/office/2006/documentManagement/types"/>
    <ds:schemaRef ds:uri="http://purl.org/dc/elements/1.1/"/>
    <ds:schemaRef ds:uri="http://schemas.microsoft.com/office/2006/metadata/properties"/>
    <ds:schemaRef ds:uri="http://www.w3.org/XML/1998/namespace"/>
    <ds:schemaRef ds:uri="http://purl.org/dc/dcmitype/"/>
  </ds:schemaRefs>
</ds:datastoreItem>
</file>

<file path=customXml/itemProps3.xml><?xml version="1.0" encoding="utf-8"?>
<ds:datastoreItem xmlns:ds="http://schemas.openxmlformats.org/officeDocument/2006/customXml" ds:itemID="{085DECDD-1BD5-422A-89A2-6D7B3FA5884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71f561d-fb31-4c82-9afe-e97f7dc54f6d"/>
    <ds:schemaRef ds:uri="275d6eaf-a1bb-4eeb-922d-259b696f6906"/>
    <ds:schemaRef ds:uri="4e3adaf9-9db0-4bef-844d-e0f158e58286"/>
    <ds:schemaRef ds:uri="http://schemas.microsoft.com/sharepoint/v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4521EEEE-E071-4CB9-83D7-EA37B00DBAD8}">
  <ds:schemaRefs>
    <ds:schemaRef ds:uri="http://schemas.microsoft.com/sharepoint/event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8</vt:i4>
      </vt:variant>
      <vt:variant>
        <vt:lpstr>Rangos con nombre</vt:lpstr>
      </vt:variant>
      <vt:variant>
        <vt:i4>17</vt:i4>
      </vt:variant>
    </vt:vector>
  </HeadingPairs>
  <TitlesOfParts>
    <vt:vector size="25" baseType="lpstr">
      <vt:lpstr>FP</vt:lpstr>
      <vt:lpstr>CF</vt:lpstr>
      <vt:lpstr>CIF</vt:lpstr>
      <vt:lpstr>CL</vt:lpstr>
      <vt:lpstr>VPN</vt:lpstr>
      <vt:lpstr>PLANTILLAS</vt:lpstr>
      <vt:lpstr>DT</vt:lpstr>
      <vt:lpstr>Datos</vt:lpstr>
      <vt:lpstr>PLANTILLAS!_pt1</vt:lpstr>
      <vt:lpstr>CF!Área_de_impresión</vt:lpstr>
      <vt:lpstr>CIF!Área_de_impresión</vt:lpstr>
      <vt:lpstr>CL!Área_de_impresión</vt:lpstr>
      <vt:lpstr>FP!Área_de_impresión</vt:lpstr>
      <vt:lpstr>Banco_Agrario</vt:lpstr>
      <vt:lpstr>Banco_Confiar</vt:lpstr>
      <vt:lpstr>Banco_de_Bogotá</vt:lpstr>
      <vt:lpstr>Banco_de_Occidente</vt:lpstr>
      <vt:lpstr>Banco_GNB_Sudameris</vt:lpstr>
      <vt:lpstr>Banco_Pichincha</vt:lpstr>
      <vt:lpstr>Bancolombia</vt:lpstr>
      <vt:lpstr>Bancoomeva</vt:lpstr>
      <vt:lpstr>bancos</vt:lpstr>
      <vt:lpstr>CITIBANK</vt:lpstr>
      <vt:lpstr>DistribuidorHosting</vt:lpstr>
      <vt:lpstr>PaqueteTX</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Marco Antonio Beltran</dc:creator>
  <cp:lastModifiedBy>José David Carbono González</cp:lastModifiedBy>
  <cp:lastPrinted>2025-02-18T21:25:49Z</cp:lastPrinted>
  <dcterms:created xsi:type="dcterms:W3CDTF">2015-02-10T20:14:10Z</dcterms:created>
  <dcterms:modified xsi:type="dcterms:W3CDTF">2025-07-11T15:55:43Z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5c23912a-912a-4cef-b311-4a4c74324ad4_Enabled">
    <vt:lpwstr>true</vt:lpwstr>
  </property>
  <property fmtid="{D5CDD505-2E9C-101B-9397-08002B2CF9AE}" pid="3" name="MSIP_Label_5c23912a-912a-4cef-b311-4a4c74324ad4_SetDate">
    <vt:lpwstr>2024-10-28T02:19:46Z</vt:lpwstr>
  </property>
  <property fmtid="{D5CDD505-2E9C-101B-9397-08002B2CF9AE}" pid="4" name="MSIP_Label_5c23912a-912a-4cef-b311-4a4c74324ad4_Method">
    <vt:lpwstr>Privileged</vt:lpwstr>
  </property>
  <property fmtid="{D5CDD505-2E9C-101B-9397-08002B2CF9AE}" pid="5" name="MSIP_Label_5c23912a-912a-4cef-b311-4a4c74324ad4_Name">
    <vt:lpwstr>Información Confidencial</vt:lpwstr>
  </property>
  <property fmtid="{D5CDD505-2E9C-101B-9397-08002B2CF9AE}" pid="6" name="MSIP_Label_5c23912a-912a-4cef-b311-4a4c74324ad4_SiteId">
    <vt:lpwstr>e8944d97-affb-4612-8caf-e343ec7839c6</vt:lpwstr>
  </property>
  <property fmtid="{D5CDD505-2E9C-101B-9397-08002B2CF9AE}" pid="7" name="MSIP_Label_5c23912a-912a-4cef-b311-4a4c74324ad4_ActionId">
    <vt:lpwstr>846822a2-2230-4e03-bcc1-c25003a812da</vt:lpwstr>
  </property>
  <property fmtid="{D5CDD505-2E9C-101B-9397-08002B2CF9AE}" pid="8" name="MSIP_Label_5c23912a-912a-4cef-b311-4a4c74324ad4_ContentBits">
    <vt:lpwstr>1</vt:lpwstr>
  </property>
</Properties>
</file>